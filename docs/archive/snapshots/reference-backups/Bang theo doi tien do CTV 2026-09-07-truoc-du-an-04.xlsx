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ralaco-my.sharepoint.com/personal/thanh_ad_rangdong_com_vn/Documents/"/>
    </mc:Choice>
  </mc:AlternateContent>
  <xr:revisionPtr revIDLastSave="0" documentId="8_{75EC0109-120D-41E6-AED9-49ED147B06E2}" xr6:coauthVersionLast="47" xr6:coauthVersionMax="47" xr10:uidLastSave="{00000000-0000-0000-0000-000000000000}"/>
  <bookViews>
    <workbookView xWindow="-120" yWindow="-120" windowWidth="29040" windowHeight="15840" xr2:uid="{00000000-000D-0000-FFFF-FFFF00000000}"/>
  </bookViews>
  <sheets>
    <sheet name="TIẾN ĐỘ TỔNG THỂ (ROADMAP)" sheetId="1" r:id="rId1"/>
    <sheet name="BÁO CÁ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C5" i="2"/>
  <c r="A4" i="1"/>
  <c r="G8" i="2"/>
  <c r="F8" i="2"/>
  <c r="E8" i="2"/>
  <c r="D8" i="2"/>
  <c r="C8" i="2"/>
  <c r="G17" i="2"/>
  <c r="F17" i="2"/>
  <c r="E17" i="2"/>
  <c r="D17" i="2"/>
  <c r="C17" i="2"/>
  <c r="G16" i="2"/>
  <c r="F16" i="2"/>
  <c r="E16" i="2"/>
  <c r="D16" i="2"/>
  <c r="C16" i="2"/>
  <c r="G15" i="2"/>
  <c r="F15" i="2"/>
  <c r="E15" i="2"/>
  <c r="D15" i="2"/>
  <c r="C15" i="2"/>
  <c r="G14" i="2"/>
  <c r="F14" i="2"/>
  <c r="E14" i="2"/>
  <c r="D14" i="2"/>
  <c r="C14" i="2"/>
  <c r="G9" i="2"/>
  <c r="F9" i="2"/>
  <c r="E9" i="2"/>
  <c r="D9" i="2"/>
  <c r="C9" i="2"/>
  <c r="G7" i="2"/>
  <c r="F7" i="2"/>
  <c r="G6" i="2"/>
  <c r="F6" i="2"/>
  <c r="E6" i="2"/>
  <c r="D6" i="2"/>
  <c r="C6" i="2"/>
  <c r="G5" i="2"/>
  <c r="F5" i="2"/>
  <c r="E5" i="2"/>
  <c r="D5" i="2"/>
  <c r="J4" i="1"/>
  <c r="G4" i="1"/>
  <c r="M4" i="1" l="1"/>
  <c r="H8" i="2"/>
  <c r="I8" i="2" s="1"/>
  <c r="H6" i="2"/>
  <c r="I6" i="2" s="1"/>
  <c r="C10" i="2"/>
  <c r="H7" i="2"/>
  <c r="I7" i="2" s="1"/>
  <c r="G10" i="2"/>
  <c r="G18" i="2"/>
  <c r="H15" i="2"/>
  <c r="H17" i="2"/>
  <c r="I16" i="2"/>
  <c r="I14" i="2"/>
  <c r="D10" i="2"/>
  <c r="E10" i="2"/>
  <c r="I17" i="2"/>
  <c r="F10" i="2"/>
  <c r="D18" i="2"/>
  <c r="E18" i="2"/>
  <c r="F18" i="2"/>
  <c r="H16" i="2"/>
  <c r="I15" i="2"/>
  <c r="H5" i="2"/>
  <c r="I5" i="2" s="1"/>
  <c r="C18" i="2"/>
  <c r="H14" i="2"/>
  <c r="H9" i="2"/>
  <c r="I9" i="2" s="1"/>
  <c r="H10" i="2" l="1"/>
  <c r="H18" i="2"/>
</calcChain>
</file>

<file path=xl/sharedStrings.xml><?xml version="1.0" encoding="utf-8"?>
<sst xmlns="http://schemas.openxmlformats.org/spreadsheetml/2006/main" count="501" uniqueCount="200">
  <si>
    <t xml:space="preserve">BẢNG KẾ HOẠCH &amp; TIẾN ĐỘ TỔNG THỂ ĐA DỰ ÁN </t>
  </si>
  <si>
    <t>TỔNG SỐ HẠNG MỤC</t>
  </si>
  <si>
    <t>ĐÃ HOÀN THÀNH</t>
  </si>
  <si>
    <t>ĐANG THỰC HIỆN</t>
  </si>
  <si>
    <t>CHẬM TIẾN ĐỘ</t>
  </si>
  <si>
    <t>TỶ LỆ HOÀN THÀNH CHUNG</t>
  </si>
  <si>
    <t>THÔNG TIN DỰ ÁN &amp; CÔNG VIỆC PHÂN CÔNG</t>
  </si>
  <si>
    <t>THÁNG 08/2026</t>
  </si>
  <si>
    <t>THÁNG 09/2026</t>
  </si>
  <si>
    <t>THÁNG 10/2026</t>
  </si>
  <si>
    <t>THÁNG 11/2026</t>
  </si>
  <si>
    <t>THÁNG 12/2026</t>
  </si>
  <si>
    <t>Mã việc</t>
  </si>
  <si>
    <t>Dự án &amp; Hạng mục công việc</t>
  </si>
  <si>
    <t>Mục tiêu / Tiêu chí đầu ra</t>
  </si>
  <si>
    <t>Đầu mối</t>
  </si>
  <si>
    <t>Phối hợp</t>
  </si>
  <si>
    <t>Hạn chót</t>
  </si>
  <si>
    <t>Trạng thái</t>
  </si>
  <si>
    <t>Tiến độ %</t>
  </si>
  <si>
    <t>T1 (1-7)</t>
  </si>
  <si>
    <t>T2 (8-14)</t>
  </si>
  <si>
    <t>T3 (15-21)</t>
  </si>
  <si>
    <t>T4 (22-31)</t>
  </si>
  <si>
    <t>T4 (22-30)</t>
  </si>
  <si>
    <t>📁  DỰ ÁN 01: PHÂN TÍCH CUỘC GỌI GIAO DỊCH VIÊN</t>
  </si>
  <si>
    <t>TSK-01</t>
  </si>
  <si>
    <t>Xác định phạm vi, mục tiêu &amp; đội ngũ triển khai hệ thống AI phân tích cuộc gọi</t>
  </si>
  <si>
    <t xml:space="preserve">- Mục tiêu: Xây dựng hệ thống AI tự động phân tích file ghi âm sau cuộc gọi của Giao dịch viên (GDV), phát hiện sớm cảm xúc tiêu cực của khách hàng, tự động chấm điểm QA theo scorecard VOC, cảnh báo vi phạm quy trình và cung cấp bằng chứng có timestamp.
- Phạm vi: Triển khai 2 tháng (Tháng 8/2026 làm Core AI &amp; UI MVP; Tháng 9/2026 làm Dashboard, Tích hợp CRM &amp; Go-live).
</t>
  </si>
  <si>
    <t>An Thanh</t>
  </si>
  <si>
    <t>Đã hoàn thành</t>
  </si>
  <si>
    <t>Xong</t>
  </si>
  <si>
    <t>-</t>
  </si>
  <si>
    <t>TSK-02</t>
  </si>
  <si>
    <t>Chuẩn hóa bộ tiêu chí chấm điểm VOC Scorecard &amp; Quy tắc đánh giá QA/QC</t>
  </si>
  <si>
    <t xml:space="preserve">- Bộ 300 từ khóa QA phân loại theo nhóm: Chào hỏi, thái độ, tư vấn giải pháp, xử lý khiếu nại, cam kết, chào kết thúc.
- Scorecard VOC V1: Bộ tiêu chí chấm điểm GDV có trọng số, định nghĩa lỗi nghiêm trọng (Zero-tolerance / Auto-fail), ngưỡng cảnh báo không hài lòng.
</t>
  </si>
  <si>
    <t>TSK-03</t>
  </si>
  <si>
    <t>Xây dựng Taxonomy nhãn phân tích, ý định (Intent) &amp; Cảm xúc (Emotion)</t>
  </si>
  <si>
    <t>- Bộ nhãn phân loại ý định khách hàng (Hỏi giá, kỹ thuật thiết bị, bảo hành, phản ánh sự cố, đặt hàng, thanh toán).
- Bộ nhãn cảm xúc 4 mức: Tích cực (Positive), Bình thường (Neutral), Không hài lòng (Negative), Cực kỳ bức xúc (Angry/Urgent).
- Ma trận phân quyền 4 vai trò: Admin, Leader, QA/QC, GDV với Data Scope (ALL, UNIT, TEAM, AGENT, SELF).</t>
  </si>
  <si>
    <t>TSK-04</t>
  </si>
  <si>
    <t>Xây dựng khung Modular Monolith, Database Schema &amp; Authentication/RBAC</t>
  </si>
  <si>
    <t>- Khởi tạo backend FastAPI / Python 3.12 với cấu trúc Domain-Driven Modular.
- Thiết kế Database Models &amp; Alembic Migrations: Users, Roles, Permissions, Calls, ProcessingJobs, AudioSegments, Transcripts, AnalysisResults, Scorecards, Scores, AuditLogs.
- Xây dựng Module Authentication JWT + Phân quyền RBAC &amp; Data Scoping theo tổ chức.</t>
  </si>
  <si>
    <t>TSK-05</t>
  </si>
  <si>
    <t>Thu thập, làm sạch &amp; chuẩn hóa tập dữ liệu âm thanh mẫu</t>
  </si>
  <si>
    <t>- Thu thập 100+ cuộc gọi mẫu thực tế (đa kênh stereo/mono, các định dạng wav, mp3, m4a, ogg, pcm).
- Pipeline tiền xử lý âm thanh: Chuẩn hóa sampling rate 16kHz Mono/Stereo, bộ lọc nhiễu âm lượng, VAD (Voice Activity Detection) cắt khoảng lặng, tách kênh thoại GDV - Khách hàng.</t>
  </si>
  <si>
    <t>TSK-06</t>
  </si>
  <si>
    <t>Phát triển Pipeline Speech-to-Text (STT) &amp; Speaker Diarization tiếng Việt</t>
  </si>
  <si>
    <t>- Tích hợp Shepra Onnx tối ưu phiên âm tiếng Việt tổng đài.
- Cơ chế Speaker Diarization: Tách chính xác lời thoại GDV vs Khách hàng theo từng turn đối thoại.
- Trích xuất Transcript chi tiết từng câu kèm Timestamp chính xác từng giây, confidence score và metadata âm thanh.</t>
  </si>
  <si>
    <t>TSK-07</t>
  </si>
  <si>
    <t>Phát triển Module Phân tích Cảm xúc Âm thanh &amp; Chỉ số Giọng điệu (Acoustic)</t>
  </si>
  <si>
    <t>- Trích xuất chỉ số âm thanh khách quan: tỉ lệ im lặng và các khoảng chết có mốc thời gian; số lần chồng tiếng và cướp lời quy kết được về từng vai; tốc độ nói (âm tiết/phút, tách riêng tốc độ phát âm sau khi trừ im lặng); cao độ và cường độ đo theo từng lượt nói.
- Phân tích hai kênh độc lập: kênh văn bản cho nội dung cảm xúc (hài lòng → bức xúc), kênh âm thanh cho ngữ điệu (điềm đạm / to tiếng).
- Gắn nhãn theo từng đoạn hội thoại, hai trục song song trên cùng trục thời gian, kèm mức phủ công bố theo thời lượng.
- Hợp nhất hai kênh cảm xúc và ngữ điệu để phát hiện điểm bùng phát xung đột.</t>
  </si>
  <si>
    <t>Chưa thực hiện</t>
  </si>
  <si>
    <t>TSK-08</t>
  </si>
  <si>
    <t>Phát triển NLP Intent, Tóm tắt ngữ cảnh &amp; Rule Engine kiểm tra tuân thủ</t>
  </si>
  <si>
    <t>- Rule Engine xử lý 300+ từ khóa nghiệp vụ Rạng Đông, kiểm tra quy chuẩn chào hỏi/kết thúc/tư vấn.
- NLP Module: Phân loại nhu cầu chính của khách hàng, trích xuất vấn đề/sản phẩm được đề cập.
- Tóm tắt tự động cuộc gọi (LLM Structured Summary: Nội dung chính, cam kết của GDV, hành động tiếp theo Next Action) qua Gemini API / Local LLM Adapter.</t>
  </si>
  <si>
    <t>TSK-09</t>
  </si>
  <si>
    <t>Module Quản lý Cuộc gọi, Upload hàng loạt &amp; Worker xử lý Async</t>
  </si>
  <si>
    <t>- API Upload file ghi âm đơn lẻ &amp; upload theo lô (Batch upload tới 500MB/file, hỗ trợ zip/folder).
- RabbitMQ Worker xử lý bất đồng bộ: Ingestion -&gt; VAD -&gt; STT -&gt; Emotion -&gt; NLP -&gt; Scoring -&gt; Notify.
- Quản lý trạng thái ProcessingJob, hỗ trợ Reprocess khi cập nhật model hoặc rule mới.</t>
  </si>
  <si>
    <t>Đang thực hiện</t>
  </si>
  <si>
    <t>TSK-10</t>
  </si>
  <si>
    <t>Module Chấm điểm Tự động theo Scorecard VOC &amp; Quản trị Tiêu chí</t>
  </si>
  <si>
    <t>- Engine tự động tính điểm theo Scorecard có trọng số (Thái độ, Kỹ năng, Nghiệp vụ, Xử lý khiếu nại).
- Tự động áp dụng quy tắc Zero-tolerance (Lỗi nghiêm trọng -&gt; 0 điểm hoặc Cảnh báo đỏ).
- Cung cấp minh chứng (Evidence grounding): Gắn link chính xác từng đoạn transcript &amp; timestamp cho mỗi tiêu chí được chấm.</t>
  </si>
  <si>
    <t>TSK-11</t>
  </si>
  <si>
    <t>Giao diện Danh sách cuộc gọi, Bộ lọc đa chiều &amp; Quản lý phân quyền</t>
  </si>
  <si>
    <t>- Màn hình Danh sách cuộc gọi: Tìm kiếm theo ngày, GDV, phòng ban, điểm số, mức độ hài lòng, từ khóa vi phạm, trạng thái QC.
- Màn hình Upload &amp; Theo dõi tiến trình xử lý real-time.
- Màn hình Quản lý Tài khoản, Vai trò &amp; Ma trận phân quyền 4 cấp.</t>
  </si>
  <si>
    <t>TSK-12</t>
  </si>
  <si>
    <t>Giao diện Chi tiết cuộc gọi, Audio Player đồng bộ Transcript &amp; QC Review</t>
  </si>
  <si>
    <t>- Audio Player trực quan: Waveform hiển thị 2 kênh (GDV / Khách hàng), nhảy đến đúng timestamp khi bấm vào transcript.
- Transcript tương tác: Highlight từ khóa, nhãn cảm xúc, vi phạm quy trình theo mã màu trực quan.
- Bảng chấm điểm QA/QC: Cho phép chuyên viên QC xác nhận điểm AI, điều chỉnh điểm từng tiêu chí, sửa speaker/transcript, nhập ghi chú đánh giá và lưu Audit Log.</t>
  </si>
  <si>
    <t>TSK-13</t>
  </si>
  <si>
    <t>Dashboard Báo cáo Quản trị &amp; Phân tích chất lượng CSKH</t>
  </si>
  <si>
    <t>- Dashboard Tổng quan: Biểu đồ số lượng cuộc gọi, Tỷ lệ hài lòng CSAT, Tỷ lệ xử lý lần đầu FCR, Điểm trung bình GDV theo thời gian.
- Dashboard Phân tích GDV: Xếp hạng GDV theo điểm QA, phân tích điểm mạnh/yếu theo từng tiêu chí, tỷ lệ ngắt lời/nói đè.
- Dashboard Phân tích Khách hàng &amp; Sản phẩm: Top vấn đề khiếu nại, nhóm sản phẩm được hỏi nhiều nhất, xu hướng cảm xúc khách hàng.
- Tính năng Xuất Báo cáo Excel / PDF chi tiết.</t>
  </si>
  <si>
    <t>CTV(Hưng)</t>
  </si>
  <si>
    <t>Đang làm</t>
  </si>
  <si>
    <t>TSK-14</t>
  </si>
  <si>
    <t>Module Quản trị Cấu hình: Scorecard, Bộ từ khóa, Ngưỡng cảnh báo &amp; LLM Prompting</t>
  </si>
  <si>
    <t>- Giao diện tạo/sửa Scorecard, phân bổ trọng số tiêu chí động, quản lý phiên bản (Versioning).
- Giao diện quản lý Danh mục từ khóa QA, từ khóa nhạy cảm, regex pattern.
- Giao diện cấu hình Prompt Template cho tóm tắt và insight AI, cài đặt ngưỡng cảnh báo khẩn cấp.</t>
  </si>
  <si>
    <t>TSK-15</t>
  </si>
  <si>
    <t>Xây dựng bộ Test case &amp; Kiểm thử Kỹ thuật nội bộ TTDL&amp;ĐHS</t>
  </si>
  <si>
    <t>- Bộ Test suite tự động (Unit test, Integration test, E2E flow với Playwright).
- Kiểm thử tải (Stress test): Xử lý đồng thời 50 cuộc gọi dung lượng lớn, đo latency STT &amp; bộ nhớ GPU.
- Kiểm tra an toàn bảo mật, chống tấn công OWASP, kiểm soát quyền truy cập dữ liệu.</t>
  </si>
  <si>
    <t>📁  DỰ ÁN 02: OPENWEBUI</t>
  </si>
  <si>
    <t>Dựng Tab Overview cho lãnh đạo</t>
  </si>
  <si>
    <t>Leader có thể xem được thông tin tổng quan mà không cần phải chuyển qua lại giữa các tab</t>
  </si>
  <si>
    <t>Tuấn</t>
  </si>
  <si>
    <t>20/07/2026</t>
  </si>
  <si>
    <t>Thống nhất cách gom số liệu audit log trên toàn bộ dashboard</t>
  </si>
  <si>
    <t>mọi tab trả về cũng một con số trên cùng một metric, đạt tính đồng bộ cao</t>
  </si>
  <si>
    <t>21/07/2026</t>
  </si>
  <si>
    <t>Chỉ tiêu Request &amp; Call</t>
  </si>
  <si>
    <t>Trả lời được: tốc độ phản hồi, đơn giá, mức độ tải của hệ thống theo giờ</t>
  </si>
  <si>
    <t>24/07/2026</t>
  </si>
  <si>
    <t>Chỉ tiêu Adoption</t>
  </si>
  <si>
    <t>Biết đã cấp được bao nhiêu tài khoản và mức độ sử dụng của các tài khoản đó</t>
  </si>
  <si>
    <t xml:space="preserve"> Chỉ tiêu Model</t>
  </si>
  <si>
    <t>Biết mức độ sử dụng của môt model và những người dùng, phòng ban nào sử dụng nó</t>
  </si>
  <si>
    <t>Tab Provider - theo dõi credit trả trước</t>
  </si>
  <si>
    <t>biết provider nào sắp cạn creadit để bổ sung</t>
  </si>
  <si>
    <t>27/07/2026</t>
  </si>
  <si>
    <t>Chuẩn hóa chỉ tiêu phòng ban theo quy mô</t>
  </si>
  <si>
    <t>So được phòng ban theo từng người</t>
  </si>
  <si>
    <t>Chí Thanh</t>
  </si>
  <si>
    <t>28/07/2026</t>
  </si>
  <si>
    <t>Chỉ tiêu về mức độ hài lòng của người dùng</t>
  </si>
  <si>
    <t>điểm số mức độ hài lòng hiển thị chính xác, biết tỉ lệ câu trả lời nhận được đánh giá</t>
  </si>
  <si>
    <t>30/07/2026</t>
  </si>
  <si>
    <t>RAG Retrieval &amp; độ phủ knowledge base</t>
  </si>
  <si>
    <t>Hit-rate được tính chính xác, và đo được mức độ áp dụng của knowledge có rộng rãi hay không</t>
  </si>
  <si>
    <t>31/07/2026</t>
  </si>
  <si>
    <t>Giám sát vận hành và xác định IP truy cập</t>
  </si>
  <si>
    <t>Quản trị viên có thể biết được sức khỏe của hệ thống, và ai gọi vào hệ thống</t>
  </si>
  <si>
    <t>Hạ tầng so sánh kỳ trước &amp; cùng kỳ</t>
  </si>
  <si>
    <t>các chỉ tiêu quan trong đều có so kỳ trước cùng kỳ, không cần phải chuyển mốc thời gian</t>
  </si>
  <si>
    <t>Chuẩn hóa nhãn chỉ tiêu của toàn dashboard</t>
  </si>
  <si>
    <t>Nhãn gọi đúng đại lượng của con số bên dưới, không bỏ sót bất cứ con số nào</t>
  </si>
  <si>
    <t>Tách quản trị tài khoản khỏi tab báo cáo</t>
  </si>
  <si>
    <t>Tab User đưa được cho người chỉ cần xem, Sync now ghi thật vào trong db</t>
  </si>
  <si>
    <t>Bộ tài liệu khảo sát và bàn giao dashboard</t>
  </si>
  <si>
    <t>người sau độc tài liệu là có thể làm tiếp được không cần dò lại code</t>
  </si>
  <si>
    <t>10/0802026</t>
  </si>
  <si>
    <t>📁  DỰ ÁN 03: AI RADAR IMPACT</t>
  </si>
  <si>
    <t>Đáp ứng nhu cầu cập nhật thông tin liên tục qua việc gửi thông báo qua mail</t>
  </si>
  <si>
    <t>Khởi tạo trước bot gửi gmail để kiểm thử:
+ Lựa chọn chuyên môn để được gửi đúng bài báo liên quan
+ Tự động gửi các alert (cấp thiết) cho security sau khi tiến hành crawl
+ Tương tác hỏi đáp thẳng trong khung hội thoại.</t>
  </si>
  <si>
    <t>Hưng</t>
  </si>
  <si>
    <t>Tạm dừng</t>
  </si>
  <si>
    <t>Chatbot UI trên dashboard</t>
  </si>
  <si>
    <t>Chatbot đáp ứng được các yêu cầu:
+ Thời gian phản hồi dưới 5s
+ Cửa sổ ngữ cảnh đủ rộng(5 bài báo)
+ Khả năng truy xuất dữ liệu insight có trong db</t>
  </si>
  <si>
    <t>Phương thức /cách thức tính năng tool</t>
  </si>
  <si>
    <t>Kiểm tra hiển thị Dark Mode, độ tương phản của chữ và màu sắc các nhãn (badges) theo feedback người dùng.</t>
  </si>
  <si>
    <t>15/08/2026</t>
  </si>
  <si>
    <t>Cải thiện kích thước khung hiển thị bài viết gốc (Original Article) ở trang chi tiết để tăng chiều cao vùng đọc tin.</t>
  </si>
  <si>
    <t>18/08/2026</t>
  </si>
  <si>
    <t>Kiểm thử hiệu năng xử lý tin tức lớn, giới hạn 6000 ký tự trong prompt.</t>
  </si>
  <si>
    <t>19/08/2026</t>
  </si>
  <si>
    <t>📁  DỰ ÁN 04: HỆ THỐNG TOKEN LEDGER</t>
  </si>
  <si>
    <t>Quản lý dự án</t>
  </si>
  <si>
    <t>Chốt bộ nhận diện, công thức so sánh kỳ, tỷ giá USD/VND, ngưỡng màu và phạm vi ngôn ngữ.</t>
  </si>
  <si>
    <t>Kế hoạch</t>
  </si>
  <si>
    <t>Bố cục giao diện</t>
  </si>
  <si>
    <t>Chuẩn hóa mỗi tab theo 3 khối: Bộ lọc → Score card → Biểu đồ/Bảng dữ liệu.</t>
  </si>
  <si>
    <t>Khối Bộ lọc (Filter)</t>
  </si>
  <si>
    <t>Hỗ trợ lọc ngày linh hoạt, hiển thị đúng khoảng chọn và truy xuất dữ liệu nhiều tháng.</t>
  </si>
  <si>
    <t>Khối Score card</t>
  </si>
  <si>
    <t>Hiển thị so sánh kỳ, chú thích, dự báo xu hướng, insight cảnh báo và màu thương hiệu.</t>
  </si>
  <si>
    <t>Khối Biểu đồ (Chart)</t>
  </si>
  <si>
    <t>Trực quan hóa mức sử dụng theo User, Agent, Đơn vị và Phòng ban bằng biểu đồ/heatmap.</t>
  </si>
  <si>
    <t>Hạ tầng dùng chung (Backend)</t>
  </si>
  <si>
    <t>Xây dựng Backend FastAPI và JSON/SQLite để lưu, đồng bộ trạng thái dùng chung.</t>
  </si>
  <si>
    <t>Thu thập dữ liệu tự động</t>
  </si>
  <si>
    <t>Tự động ghi nhận token từ AI Agent qua SDK/hook, không cần nhập liệu thủ công.</t>
  </si>
  <si>
    <t>Database &amp; Bảo mật</t>
  </si>
  <si>
    <t>Chuyển dữ liệu sang PostgreSQL và bổ sung đăng nhập hệ thống.</t>
  </si>
  <si>
    <t>Bảo mật / Phân quyền</t>
  </si>
  <si>
    <t>Phân quyền xem chi phí theo vai trò, phòng ban, dự án và Agent phụ trách.</t>
  </si>
  <si>
    <t>Đóng gói deploy lên sever</t>
  </si>
  <si>
    <t>Deploy lên máy chủ nội bộ; dữ liệu và biểu đồ được đồng bộ, cập nhật cho toàn nhóm.</t>
  </si>
  <si>
    <t>📁  DỰ ÁN 05: CRAWL DATA</t>
  </si>
  <si>
    <t>Chốt phạm vi, kiến trúc và chuẩn dữ liệu đầu ra trước khi triển khai chi tiết Giai đoạn 1.</t>
  </si>
  <si>
    <t>13/08/2026</t>
  </si>
  <si>
    <t>Thu thập &amp; Xác định nguồn dữ liệu</t>
  </si>
  <si>
    <t>Tự động xác định đúng nguồn dữ liệu sản phẩm đáng tin cậy của mỗi website đối thủ, không cần rà soát thủ công.</t>
  </si>
  <si>
    <t>Trích xuất dữ liệu sản phẩm</t>
  </si>
  <si>
    <t>Tận dụng tối đa dữ liệu website đã công khai sẵn, hạn chế phải lập trình riêng cho từng site.</t>
  </si>
  <si>
    <t>Bổ sung những thông tin website không công khai sẵn, chỉ can thiệp tối thiểu theo từng site.</t>
  </si>
  <si>
    <t>Chuẩn hoá thuộc tính bằng AI</t>
  </si>
  <si>
    <t>Chuyển bảng thông số kỹ thuật trình bày tự do của mỗi site thành dữ liệu có cấu trúc, so sánh được giữa các sản phẩm.</t>
  </si>
  <si>
    <t>Chuẩn hoá &amp; Quản lý dữ liệu đầu ra</t>
  </si>
  <si>
    <t>Có 1 chuẩn dữ liệu sản phẩm dùng chung cho mọi đối thủ, xuất ra đúng khuôn mẫu Excel công ty đang dùng.</t>
  </si>
  <si>
    <t>Tối ưu thời gian và chi phí cho các lần crawl lặp lại.</t>
  </si>
  <si>
    <t>Thí điểm trên đối thủ thực tế</t>
  </si>
  <si>
    <t>Kiểm chứng khả năng xác định đúng nguồn dữ liệu và đúng phạm vi sản phẩm cần crawl trên 1 site thật.</t>
  </si>
  <si>
    <t>Kiểm chứng toàn bộ hệ thống vận hành trơn tru trên dữ liệu thật, tạo ra bộ dữ liệu bàn giao đầu tiên.</t>
  </si>
  <si>
    <t>Kiểm thử &amp; Đảm bảo chất lượng</t>
  </si>
  <si>
    <t>Đảm bảo hệ thống được kiểm tra tự động thường xuyên, không chỉ dựa vào 1 lần chạy thử.</t>
  </si>
  <si>
    <t>Nâng cấp hiệu năng &amp; Mở rộng phạm vi crawl</t>
  </si>
  <si>
    <t>Rút ngắn đáng kể thời gian crawl để có thể thu thập toàn bộ sản phẩm của 1 site đối thủ trong 1 lần chạy, thay vì chỉ 1 nhóm hàng như giai đoạn thí điểm.</t>
  </si>
  <si>
    <t>25/08/2026</t>
  </si>
  <si>
    <t>Điều chỉnh thuật toán và cách thức hoạt động để crawl chính xác và đầy đủ ưu điểm đặc điểm</t>
  </si>
  <si>
    <t>Mở rộng tính năng crawl theo Keyword(phân loại ý định keyword là danh mục sản phẩm hay nhãn hiệu đối thủ) từ đó đưa ra file kết quả phù hợp</t>
  </si>
  <si>
    <t>13/09/2026</t>
  </si>
  <si>
    <t>Kiểm chứng &amp; Triển khai mở rộng</t>
  </si>
  <si>
    <t>Xác nhận hệ thống nâng cấp hoạt động đúng và hiệu quả trên quy mô toàn site, sẵn sàng mở rộng sang đối thủ khác.</t>
  </si>
  <si>
    <t>BÁO CÁO TỔNG QUAN TIẾN ĐỘ THEO DỰ ÁN &amp; NHÂN SỰ</t>
  </si>
  <si>
    <t>1. TIẾN ĐỘ THEO TỪNG DỰ ÁN (PROJECT PORTFOLIO)</t>
  </si>
  <si>
    <t>STT</t>
  </si>
  <si>
    <t>Tên Dự Án</t>
  </si>
  <si>
    <t>Số đầu việc</t>
  </si>
  <si>
    <t>Đã xong</t>
  </si>
  <si>
    <t>Chậm trễ</t>
  </si>
  <si>
    <t>Chưa làm</t>
  </si>
  <si>
    <t>Tình trạng Dự án</t>
  </si>
  <si>
    <t>Dự án 01: Triển khai Kế hoạch &amp; Vận hành Báo cáo</t>
  </si>
  <si>
    <t>Dự án 02: Nâng cấp Hạ tầng Kỹ thuật &amp; Dữ liệu</t>
  </si>
  <si>
    <t>Dự án 03: AI RADAR IMPACT</t>
  </si>
  <si>
    <t>Dự án 04: HỆ THỐNG TOKEN LEDGER</t>
  </si>
  <si>
    <t>Dự án 05: Chăm sóc Khách hàng &amp; Hỗ trợ Vận hành</t>
  </si>
  <si>
    <t>TỔNG CỘNG CÁC DỰ ÁN</t>
  </si>
  <si>
    <t>2. PHÂN BỔ KHỐI LƯỢNG &amp; TIẾN ĐỘ 4 THÀNH VIÊN</t>
  </si>
  <si>
    <t>Thành viên</t>
  </si>
  <si>
    <t>Đầu việc chính</t>
  </si>
  <si>
    <t>Đánh giá tải việc</t>
  </si>
  <si>
    <t>TỔNG CỘNG NHÓM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</si>
</sst>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b/>
      <sz val="13"/>
      <color rgb="FF0F172A"/>
      <name val="Segoe UI"/>
    </font>
    <font>
      <b/>
      <sz val="8"/>
      <color rgb="FF475569"/>
      <name val="Segoe UI"/>
    </font>
    <font>
      <b/>
      <sz val="13"/>
      <color rgb="FF166534"/>
      <name val="Segoe UI"/>
    </font>
    <font>
      <b/>
      <sz val="13"/>
      <color rgb="FF854D0E"/>
      <name val="Segoe UI"/>
    </font>
    <font>
      <b/>
      <sz val="13"/>
      <color rgb="FF991B1B"/>
      <name val="Segoe UI"/>
    </font>
    <font>
      <b/>
      <sz val="13"/>
      <color rgb="FF3730A3"/>
      <name val="Segoe UI"/>
    </font>
    <font>
      <b/>
      <sz val="10"/>
      <color rgb="FFFFFFFF"/>
      <name val="Segoe UI"/>
    </font>
    <font>
      <b/>
      <sz val="9"/>
      <color rgb="FF0F172A"/>
      <name val="Segoe UI"/>
    </font>
    <font>
      <sz val="9"/>
      <color rgb="FF1E293B"/>
      <name val="Segoe UI"/>
    </font>
    <font>
      <b/>
      <sz val="11"/>
      <color rgb="FF1E3A8A"/>
      <name val="Segoe UI"/>
    </font>
    <font>
      <sz val="8"/>
      <name val="Calibri"/>
      <family val="2"/>
      <scheme val="minor"/>
    </font>
    <font>
      <b/>
      <sz val="10"/>
      <name val="Segoe UI"/>
      <family val="2"/>
    </font>
    <font>
      <sz val="11"/>
      <name val="Calibri"/>
      <family val="2"/>
      <scheme val="minor"/>
    </font>
    <font>
      <b/>
      <sz val="9"/>
      <name val="Segoe UI"/>
      <family val="2"/>
    </font>
    <font>
      <b/>
      <sz val="8"/>
      <name val="Segoe UI"/>
      <family val="2"/>
    </font>
    <font>
      <sz val="9"/>
      <name val="Segoe UI"/>
      <family val="2"/>
    </font>
  </fonts>
  <fills count="16">
    <fill>
      <patternFill patternType="none"/>
    </fill>
    <fill>
      <patternFill patternType="gray125"/>
    </fill>
    <fill>
      <patternFill patternType="solid">
        <fgColor rgb="FFF1F5F9"/>
        <bgColor rgb="FFF1F5F9"/>
      </patternFill>
    </fill>
    <fill>
      <patternFill patternType="solid">
        <fgColor rgb="FFDCFCE7"/>
        <bgColor rgb="FFDCFCE7"/>
      </patternFill>
    </fill>
    <fill>
      <patternFill patternType="solid">
        <fgColor rgb="FFFEF08A"/>
        <bgColor rgb="FFFEF08A"/>
      </patternFill>
    </fill>
    <fill>
      <patternFill patternType="solid">
        <fgColor rgb="FFFEE2E2"/>
        <bgColor rgb="FFFEE2E2"/>
      </patternFill>
    </fill>
    <fill>
      <patternFill patternType="solid">
        <fgColor rgb="FFE0E7FF"/>
        <bgColor rgb="FFE0E7FF"/>
      </patternFill>
    </fill>
    <fill>
      <patternFill patternType="solid">
        <fgColor rgb="FF1E3A8A"/>
        <bgColor rgb="FF1E3A8A"/>
      </patternFill>
    </fill>
    <fill>
      <patternFill patternType="solid">
        <fgColor rgb="FF1D4ED8"/>
        <bgColor rgb="FF1D4ED8"/>
      </patternFill>
    </fill>
    <fill>
      <patternFill patternType="solid">
        <fgColor rgb="FF0284C7"/>
        <bgColor rgb="FF0284C7"/>
      </patternFill>
    </fill>
    <fill>
      <patternFill patternType="solid">
        <fgColor rgb="FF0F766E"/>
        <bgColor rgb="FF0F766E"/>
      </patternFill>
    </fill>
    <fill>
      <patternFill patternType="solid">
        <fgColor rgb="FF4338CA"/>
        <bgColor rgb="FF4338CA"/>
      </patternFill>
    </fill>
    <fill>
      <patternFill patternType="solid">
        <fgColor rgb="FF7C3AED"/>
        <bgColor rgb="FF7C3AED"/>
      </patternFill>
    </fill>
    <fill>
      <patternFill patternType="solid">
        <fgColor rgb="FFF8FAFC"/>
        <bgColor rgb="FFF8FAFC"/>
      </patternFill>
    </fill>
    <fill>
      <patternFill patternType="solid">
        <fgColor rgb="FFFFFFFF"/>
        <bgColor rgb="FFFFFFFF"/>
      </patternFill>
    </fill>
    <fill>
      <patternFill patternType="solid">
        <fgColor rgb="FF334155"/>
        <bgColor rgb="FF334155"/>
      </patternFill>
    </fill>
  </fills>
  <borders count="11">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64748B"/>
      </top>
      <bottom style="medium">
        <color rgb="FF64748B"/>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CBD5E1"/>
      </top>
      <bottom style="thin">
        <color rgb="FF000000"/>
      </bottom>
      <diagonal/>
    </border>
    <border>
      <left/>
      <right/>
      <top style="thin">
        <color rgb="FFCBD5E1"/>
      </top>
      <bottom style="thin">
        <color rgb="FFCBD5E1"/>
      </bottom>
      <diagonal/>
    </border>
    <border>
      <left/>
      <right/>
      <top/>
      <bottom style="thin">
        <color rgb="FFCBD5E1"/>
      </bottom>
      <diagonal/>
    </border>
    <border>
      <left style="thin">
        <color rgb="FFCBD5E1"/>
      </left>
      <right/>
      <top/>
      <bottom style="thin">
        <color rgb="FFCBD5E1"/>
      </bottom>
      <diagonal/>
    </border>
    <border>
      <left/>
      <right style="thin">
        <color rgb="FFCBD5E1"/>
      </right>
      <top/>
      <bottom style="thin">
        <color rgb="FFCBD5E1"/>
      </bottom>
      <diagonal/>
    </border>
  </borders>
  <cellStyleXfs count="1">
    <xf numFmtId="0" fontId="0" fillId="0" borderId="0"/>
  </cellStyleXfs>
  <cellXfs count="73">
    <xf numFmtId="0" fontId="0" fillId="0" borderId="0" xfId="0"/>
    <xf numFmtId="0" fontId="7" fillId="7" borderId="2"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164" fontId="8" fillId="14" borderId="1" xfId="0" applyNumberFormat="1" applyFont="1" applyFill="1" applyBorder="1" applyAlignment="1">
      <alignment horizontal="center" vertical="center" wrapText="1"/>
    </xf>
    <xf numFmtId="0" fontId="8" fillId="13" borderId="1" xfId="0" applyFont="1" applyFill="1" applyBorder="1" applyAlignment="1">
      <alignment horizontal="left" vertical="center" wrapText="1"/>
    </xf>
    <xf numFmtId="164" fontId="8" fillId="13" borderId="1" xfId="0" applyNumberFormat="1" applyFont="1" applyFill="1" applyBorder="1" applyAlignment="1">
      <alignment horizontal="center" vertical="center" wrapText="1"/>
    </xf>
    <xf numFmtId="0" fontId="0" fillId="2" borderId="1" xfId="0" applyFill="1" applyBorder="1"/>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7" fillId="15"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3" fillId="0" borderId="1" xfId="0" applyFont="1" applyBorder="1"/>
    <xf numFmtId="0" fontId="14" fillId="13" borderId="1" xfId="0" applyFont="1" applyFill="1" applyBorder="1" applyAlignment="1">
      <alignment horizontal="center" vertical="center" wrapText="1"/>
    </xf>
    <xf numFmtId="0" fontId="16" fillId="14" borderId="1" xfId="0" applyFont="1" applyFill="1" applyBorder="1" applyAlignment="1">
      <alignment horizontal="left" vertical="center" wrapText="1"/>
    </xf>
    <xf numFmtId="0" fontId="16" fillId="13" borderId="1" xfId="0" applyFont="1" applyFill="1" applyBorder="1" applyAlignment="1">
      <alignment horizontal="left" vertical="center" wrapText="1"/>
    </xf>
    <xf numFmtId="14" fontId="16" fillId="13" borderId="1" xfId="0" applyNumberFormat="1" applyFont="1" applyFill="1" applyBorder="1" applyAlignment="1">
      <alignment horizontal="center" vertical="center" wrapText="1"/>
    </xf>
    <xf numFmtId="9" fontId="14" fillId="13" borderId="1" xfId="0" applyNumberFormat="1" applyFont="1" applyFill="1" applyBorder="1" applyAlignment="1">
      <alignment horizontal="center" vertical="center" wrapText="1"/>
    </xf>
    <xf numFmtId="0" fontId="16" fillId="13" borderId="1" xfId="0" applyFont="1" applyFill="1" applyBorder="1" applyAlignment="1">
      <alignment horizontal="center" vertical="center" wrapText="1"/>
    </xf>
    <xf numFmtId="14" fontId="16" fillId="14" borderId="1" xfId="0" applyNumberFormat="1" applyFont="1" applyFill="1" applyBorder="1" applyAlignment="1">
      <alignment horizontal="center" vertical="center" wrapText="1"/>
    </xf>
    <xf numFmtId="9" fontId="14" fillId="14" borderId="1" xfId="0" applyNumberFormat="1"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4" borderId="1" xfId="0" applyFont="1" applyFill="1" applyBorder="1" applyAlignment="1">
      <alignment horizontal="left" vertical="center" wrapText="1"/>
    </xf>
    <xf numFmtId="0" fontId="14" fillId="13" borderId="6" xfId="0" applyFont="1" applyFill="1" applyBorder="1" applyAlignment="1">
      <alignment horizontal="center" vertical="center" wrapText="1"/>
    </xf>
    <xf numFmtId="0" fontId="16" fillId="14" borderId="6" xfId="0" applyFont="1" applyFill="1" applyBorder="1" applyAlignment="1">
      <alignment horizontal="left" vertical="center" wrapText="1"/>
    </xf>
    <xf numFmtId="0" fontId="16" fillId="14" borderId="1" xfId="0" quotePrefix="1" applyFont="1" applyFill="1" applyBorder="1" applyAlignment="1">
      <alignment horizontal="left" vertical="center" wrapText="1"/>
    </xf>
    <xf numFmtId="0" fontId="16" fillId="14" borderId="3" xfId="0" quotePrefix="1" applyFont="1" applyFill="1" applyBorder="1" applyAlignment="1">
      <alignment horizontal="left" vertical="center" wrapText="1"/>
    </xf>
    <xf numFmtId="0" fontId="16" fillId="14" borderId="4" xfId="0" applyFont="1" applyFill="1" applyBorder="1" applyAlignment="1">
      <alignment horizontal="left" vertical="center" wrapText="1"/>
    </xf>
    <xf numFmtId="9" fontId="14" fillId="14" borderId="3" xfId="0" applyNumberFormat="1" applyFont="1" applyFill="1" applyBorder="1" applyAlignment="1">
      <alignment horizontal="center" vertical="center" wrapText="1"/>
    </xf>
    <xf numFmtId="0" fontId="14" fillId="13" borderId="1" xfId="0" applyFont="1" applyFill="1" applyBorder="1" applyAlignment="1">
      <alignment horizontal="left" vertical="center" wrapText="1"/>
    </xf>
    <xf numFmtId="0" fontId="13" fillId="13" borderId="1" xfId="0" applyFont="1" applyFill="1" applyBorder="1"/>
    <xf numFmtId="0" fontId="13" fillId="14" borderId="1" xfId="0" applyFont="1" applyFill="1" applyBorder="1"/>
    <xf numFmtId="0" fontId="13" fillId="0" borderId="0" xfId="0" applyFont="1"/>
    <xf numFmtId="10" fontId="13" fillId="0" borderId="0" xfId="0" applyNumberFormat="1" applyFont="1"/>
    <xf numFmtId="0" fontId="16" fillId="13" borderId="1" xfId="0" applyFont="1" applyFill="1" applyBorder="1" applyAlignment="1">
      <alignment vertical="center"/>
    </xf>
    <xf numFmtId="0" fontId="16" fillId="14" borderId="1" xfId="0" applyFont="1" applyFill="1" applyBorder="1" applyAlignment="1">
      <alignment vertical="center"/>
    </xf>
    <xf numFmtId="0" fontId="16" fillId="0" borderId="0" xfId="0" applyFont="1" applyAlignment="1">
      <alignment vertical="center"/>
    </xf>
    <xf numFmtId="0" fontId="14" fillId="8"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14" fillId="11" borderId="2"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2" fillId="6" borderId="9" xfId="0" applyFont="1" applyFill="1" applyBorder="1" applyAlignment="1">
      <alignment horizontal="left" vertical="center" indent="1"/>
    </xf>
    <xf numFmtId="0" fontId="12" fillId="6" borderId="8" xfId="0" applyFont="1" applyFill="1" applyBorder="1" applyAlignment="1">
      <alignment horizontal="left" vertical="center" indent="1"/>
    </xf>
    <xf numFmtId="0" fontId="12" fillId="6" borderId="10" xfId="0" applyFont="1" applyFill="1" applyBorder="1" applyAlignment="1">
      <alignment horizontal="left" vertical="center" indent="1"/>
    </xf>
    <xf numFmtId="164" fontId="6" fillId="6" borderId="1" xfId="0" applyNumberFormat="1" applyFont="1" applyFill="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xf>
    <xf numFmtId="0" fontId="14" fillId="9"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2" fillId="6" borderId="1" xfId="0" applyFont="1" applyFill="1" applyBorder="1" applyAlignment="1">
      <alignment horizontal="left" vertical="center" indent="1"/>
    </xf>
    <xf numFmtId="0" fontId="12" fillId="6" borderId="7" xfId="0" applyFont="1" applyFill="1" applyBorder="1" applyAlignment="1">
      <alignment horizontal="left" vertical="center" inden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 fontId="5" fillId="5" borderId="1" xfId="0" applyNumberFormat="1" applyFont="1" applyFill="1" applyBorder="1" applyAlignment="1">
      <alignment horizontal="center" vertical="center" wrapText="1"/>
    </xf>
    <xf numFmtId="0" fontId="12" fillId="6" borderId="5" xfId="0" applyFont="1" applyFill="1" applyBorder="1" applyAlignment="1">
      <alignment horizontal="left" vertical="center" indent="1"/>
    </xf>
    <xf numFmtId="0" fontId="12" fillId="7" borderId="2"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0" xfId="0" applyFont="1" applyAlignment="1">
      <alignment horizontal="left" vertical="center"/>
    </xf>
    <xf numFmtId="0" fontId="10" fillId="0" borderId="0" xfId="0" applyFont="1" applyAlignment="1">
      <alignment horizontal="left" vertical="center"/>
    </xf>
    <xf numFmtId="0" fontId="0" fillId="0" borderId="1" xfId="0" applyBorder="1" applyAlignment="1"/>
    <xf numFmtId="0" fontId="13" fillId="0" borderId="2" xfId="0" applyFont="1" applyBorder="1" applyAlignment="1"/>
    <xf numFmtId="0" fontId="13" fillId="0" borderId="1" xfId="0" applyFont="1" applyBorder="1" applyAlignment="1"/>
    <xf numFmtId="0" fontId="13" fillId="0" borderId="5" xfId="0" applyFont="1" applyBorder="1" applyAlignment="1"/>
    <xf numFmtId="0" fontId="0" fillId="0" borderId="0" xfId="0" applyAlignment="1"/>
  </cellXfs>
  <cellStyles count="1">
    <cellStyle name="Bình thường" xfId="0" builtinId="0"/>
  </cellStyles>
  <dxfs count="8">
    <dxf>
      <font>
        <sz val="8"/>
        <color rgb="FF475569"/>
        <name val="Segoe UI"/>
      </font>
      <fill>
        <patternFill patternType="solid">
          <fgColor rgb="FFE2E8F0"/>
          <bgColor rgb="FFE2E8F0"/>
        </patternFill>
      </fill>
    </dxf>
    <dxf>
      <font>
        <b/>
        <sz val="8"/>
        <color rgb="FF991B1B"/>
        <name val="Segoe UI"/>
      </font>
      <fill>
        <patternFill patternType="solid">
          <fgColor rgb="FFFEE2E2"/>
          <bgColor rgb="FFFEE2E2"/>
        </patternFill>
      </fill>
    </dxf>
    <dxf>
      <font>
        <b/>
        <sz val="8"/>
        <color rgb="FF854D0E"/>
        <name val="Segoe UI"/>
      </font>
      <fill>
        <patternFill patternType="solid">
          <fgColor rgb="FFFEF08A"/>
          <bgColor rgb="FFFEF08A"/>
        </patternFill>
      </fill>
    </dxf>
    <dxf>
      <font>
        <b/>
        <sz val="8"/>
        <color rgb="FF166534"/>
        <name val="Segoe UI"/>
      </font>
      <fill>
        <patternFill patternType="solid">
          <fgColor rgb="FFDCFCE7"/>
          <bgColor rgb="FFDCFCE7"/>
        </patternFill>
      </fill>
    </dxf>
    <dxf>
      <font>
        <sz val="8"/>
        <color rgb="FF475569"/>
        <name val="Segoe UI"/>
      </font>
      <fill>
        <patternFill patternType="solid">
          <fgColor rgb="FFE2E8F0"/>
          <bgColor rgb="FFE2E8F0"/>
        </patternFill>
      </fill>
    </dxf>
    <dxf>
      <font>
        <b/>
        <sz val="8"/>
        <color rgb="FF991B1B"/>
        <name val="Segoe UI"/>
      </font>
      <fill>
        <patternFill patternType="solid">
          <fgColor rgb="FFFEE2E2"/>
          <bgColor rgb="FFFEE2E2"/>
        </patternFill>
      </fill>
    </dxf>
    <dxf>
      <font>
        <b/>
        <sz val="8"/>
        <color rgb="FF854D0E"/>
        <name val="Segoe UI"/>
      </font>
      <fill>
        <patternFill patternType="solid">
          <fgColor rgb="FFFEF08A"/>
          <bgColor rgb="FFFEF08A"/>
        </patternFill>
      </fill>
    </dxf>
    <dxf>
      <font>
        <b/>
        <sz val="8"/>
        <color rgb="FF166534"/>
        <name val="Segoe UI"/>
      </font>
      <fill>
        <patternFill patternType="solid">
          <fgColor rgb="FFDCFCE7"/>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0"/>
  <sheetViews>
    <sheetView tabSelected="1" zoomScaleNormal="100" workbookViewId="0">
      <pane xSplit="8" ySplit="7" topLeftCell="I66" activePane="bottomRight" state="frozen"/>
      <selection pane="bottomRight" activeCell="A68" sqref="A68:A70"/>
      <selection pane="bottomLeft"/>
      <selection pane="topRight"/>
    </sheetView>
  </sheetViews>
  <sheetFormatPr defaultRowHeight="15"/>
  <cols>
    <col min="1" max="1" width="10" customWidth="1"/>
    <col min="2" max="2" width="32" customWidth="1"/>
    <col min="3" max="3" width="117.28515625" customWidth="1"/>
    <col min="4" max="4" width="21.5703125" customWidth="1"/>
    <col min="5" max="5" width="15" customWidth="1"/>
    <col min="6" max="6" width="12" customWidth="1"/>
    <col min="7" max="7" width="16" customWidth="1"/>
    <col min="8" max="8" width="11" customWidth="1"/>
    <col min="9" max="28" width="9" customWidth="1"/>
  </cols>
  <sheetData>
    <row r="1" spans="1:28" ht="26.1" customHeight="1">
      <c r="A1" s="52" t="s">
        <v>0</v>
      </c>
      <c r="B1" s="53"/>
      <c r="C1" s="53"/>
      <c r="D1" s="53"/>
      <c r="E1" s="53"/>
      <c r="F1" s="53"/>
      <c r="G1" s="53"/>
      <c r="H1" s="53"/>
      <c r="I1" s="53"/>
      <c r="J1" s="53"/>
      <c r="K1" s="53"/>
      <c r="L1" s="53"/>
      <c r="M1" s="53"/>
      <c r="N1" s="53"/>
      <c r="O1" s="53"/>
      <c r="P1" s="53"/>
      <c r="Q1" s="53"/>
      <c r="R1" s="53"/>
      <c r="S1" s="53"/>
      <c r="T1" s="53"/>
      <c r="U1" s="53"/>
      <c r="V1" s="53"/>
      <c r="W1" s="53"/>
      <c r="X1" s="53"/>
      <c r="Y1" s="53"/>
      <c r="Z1" s="53"/>
      <c r="AA1" s="53"/>
      <c r="AB1" s="53"/>
    </row>
    <row r="3" spans="1:28" ht="15.95" customHeight="1">
      <c r="A3" s="59" t="s">
        <v>1</v>
      </c>
      <c r="B3" s="68"/>
      <c r="C3" s="68"/>
      <c r="D3" s="43" t="s">
        <v>2</v>
      </c>
      <c r="E3" s="68"/>
      <c r="F3" s="68"/>
      <c r="G3" s="60" t="s">
        <v>3</v>
      </c>
      <c r="H3" s="68"/>
      <c r="I3" s="68"/>
      <c r="J3" s="47" t="s">
        <v>4</v>
      </c>
      <c r="K3" s="68"/>
      <c r="L3" s="68"/>
      <c r="M3" s="65" t="s">
        <v>5</v>
      </c>
      <c r="N3" s="68"/>
      <c r="O3" s="68"/>
    </row>
    <row r="4" spans="1:28" ht="24" customHeight="1">
      <c r="A4" s="45">
        <f>COUNTIF(A8:A93, "TSK*")</f>
        <v>58</v>
      </c>
      <c r="B4" s="68"/>
      <c r="C4" s="68"/>
      <c r="D4" s="64">
        <f>COUNTIF(G8:G93, "Đã hoàn thành")</f>
        <v>46</v>
      </c>
      <c r="E4" s="68"/>
      <c r="F4" s="68"/>
      <c r="G4" s="44">
        <f>COUNTIF(G8:G93, "Đang thực hiện")</f>
        <v>6</v>
      </c>
      <c r="H4" s="68"/>
      <c r="I4" s="68"/>
      <c r="J4" s="61">
        <f>COUNTIF(G8:G93, "Chậm tiến độ")</f>
        <v>0</v>
      </c>
      <c r="K4" s="68"/>
      <c r="L4" s="68"/>
      <c r="M4" s="51">
        <f>IFERROR(D4/A4, 0)</f>
        <v>0.7931034482758621</v>
      </c>
      <c r="N4" s="68"/>
      <c r="O4" s="68"/>
    </row>
    <row r="5" spans="1:28" ht="8.1" customHeight="1"/>
    <row r="6" spans="1:28" ht="21.95" customHeight="1">
      <c r="A6" s="63" t="s">
        <v>6</v>
      </c>
      <c r="B6" s="69"/>
      <c r="C6" s="69"/>
      <c r="D6" s="69"/>
      <c r="E6" s="69"/>
      <c r="F6" s="69"/>
      <c r="G6" s="69"/>
      <c r="H6" s="69"/>
      <c r="I6" s="42" t="s">
        <v>7</v>
      </c>
      <c r="J6" s="69"/>
      <c r="K6" s="69"/>
      <c r="L6" s="69"/>
      <c r="M6" s="54" t="s">
        <v>8</v>
      </c>
      <c r="N6" s="69"/>
      <c r="O6" s="69"/>
      <c r="P6" s="69"/>
      <c r="Q6" s="55" t="s">
        <v>9</v>
      </c>
      <c r="R6" s="69"/>
      <c r="S6" s="69"/>
      <c r="T6" s="69"/>
      <c r="U6" s="46" t="s">
        <v>10</v>
      </c>
      <c r="V6" s="69"/>
      <c r="W6" s="69"/>
      <c r="X6" s="69"/>
      <c r="Y6" s="56" t="s">
        <v>11</v>
      </c>
      <c r="Z6" s="69"/>
      <c r="AA6" s="69"/>
      <c r="AB6" s="69"/>
    </row>
    <row r="7" spans="1:28" ht="21.95" customHeight="1">
      <c r="A7" s="15" t="s">
        <v>12</v>
      </c>
      <c r="B7" s="15" t="s">
        <v>13</v>
      </c>
      <c r="C7" s="15" t="s">
        <v>14</v>
      </c>
      <c r="D7" s="15" t="s">
        <v>15</v>
      </c>
      <c r="E7" s="15" t="s">
        <v>16</v>
      </c>
      <c r="F7" s="15" t="s">
        <v>17</v>
      </c>
      <c r="G7" s="15" t="s">
        <v>18</v>
      </c>
      <c r="H7" s="15" t="s">
        <v>19</v>
      </c>
      <c r="I7" s="15" t="s">
        <v>20</v>
      </c>
      <c r="J7" s="15" t="s">
        <v>21</v>
      </c>
      <c r="K7" s="15" t="s">
        <v>22</v>
      </c>
      <c r="L7" s="15" t="s">
        <v>23</v>
      </c>
      <c r="M7" s="15" t="s">
        <v>20</v>
      </c>
      <c r="N7" s="15" t="s">
        <v>21</v>
      </c>
      <c r="O7" s="15" t="s">
        <v>22</v>
      </c>
      <c r="P7" s="15" t="s">
        <v>24</v>
      </c>
      <c r="Q7" s="15" t="s">
        <v>20</v>
      </c>
      <c r="R7" s="15" t="s">
        <v>21</v>
      </c>
      <c r="S7" s="15" t="s">
        <v>22</v>
      </c>
      <c r="T7" s="15" t="s">
        <v>23</v>
      </c>
      <c r="U7" s="15" t="s">
        <v>20</v>
      </c>
      <c r="V7" s="15" t="s">
        <v>21</v>
      </c>
      <c r="W7" s="15" t="s">
        <v>22</v>
      </c>
      <c r="X7" s="15" t="s">
        <v>24</v>
      </c>
      <c r="Y7" s="15" t="s">
        <v>20</v>
      </c>
      <c r="Z7" s="15" t="s">
        <v>21</v>
      </c>
      <c r="AA7" s="15" t="s">
        <v>22</v>
      </c>
      <c r="AB7" s="15" t="s">
        <v>23</v>
      </c>
    </row>
    <row r="8" spans="1:28" ht="21.95" customHeight="1">
      <c r="A8" s="57" t="s">
        <v>25</v>
      </c>
      <c r="B8" s="70"/>
      <c r="C8" s="70"/>
      <c r="D8" s="70"/>
      <c r="E8" s="70"/>
      <c r="F8" s="70"/>
      <c r="G8" s="70"/>
      <c r="H8" s="70"/>
      <c r="I8" s="70"/>
      <c r="J8" s="70"/>
      <c r="K8" s="70"/>
      <c r="L8" s="70"/>
      <c r="M8" s="70"/>
      <c r="N8" s="70"/>
      <c r="O8" s="70"/>
      <c r="P8" s="70"/>
      <c r="Q8" s="70"/>
      <c r="R8" s="70"/>
      <c r="S8" s="70"/>
      <c r="T8" s="70"/>
      <c r="U8" s="70"/>
      <c r="V8" s="70"/>
      <c r="W8" s="70"/>
      <c r="X8" s="70"/>
      <c r="Y8" s="70"/>
      <c r="Z8" s="70"/>
      <c r="AA8" s="70"/>
      <c r="AB8" s="70"/>
    </row>
    <row r="9" spans="1:28" ht="80.25" customHeight="1">
      <c r="A9" s="17" t="s">
        <v>26</v>
      </c>
      <c r="B9" s="18" t="s">
        <v>27</v>
      </c>
      <c r="C9" s="18" t="s">
        <v>28</v>
      </c>
      <c r="D9" s="17" t="s">
        <v>29</v>
      </c>
      <c r="E9" s="19"/>
      <c r="F9" s="20">
        <v>46241</v>
      </c>
      <c r="G9" s="17" t="s">
        <v>30</v>
      </c>
      <c r="H9" s="21">
        <v>1</v>
      </c>
      <c r="I9" s="22" t="s">
        <v>31</v>
      </c>
      <c r="J9" s="22" t="s">
        <v>31</v>
      </c>
      <c r="K9" s="22" t="s">
        <v>32</v>
      </c>
      <c r="L9" s="22" t="s">
        <v>32</v>
      </c>
      <c r="M9" s="16"/>
      <c r="N9" s="16"/>
      <c r="O9" s="16"/>
      <c r="P9" s="16"/>
      <c r="Q9" s="16"/>
      <c r="R9" s="16"/>
      <c r="S9" s="16"/>
      <c r="T9" s="16"/>
      <c r="U9" s="16"/>
      <c r="V9" s="16"/>
      <c r="W9" s="16"/>
      <c r="X9" s="16"/>
      <c r="Y9" s="16"/>
      <c r="Z9" s="16"/>
      <c r="AA9" s="16"/>
      <c r="AB9" s="16"/>
    </row>
    <row r="10" spans="1:28" ht="80.25" customHeight="1">
      <c r="A10" s="17" t="s">
        <v>33</v>
      </c>
      <c r="B10" s="18" t="s">
        <v>34</v>
      </c>
      <c r="C10" s="18" t="s">
        <v>35</v>
      </c>
      <c r="D10" s="17" t="s">
        <v>29</v>
      </c>
      <c r="E10" s="18"/>
      <c r="F10" s="23">
        <v>46246</v>
      </c>
      <c r="G10" s="17" t="s">
        <v>30</v>
      </c>
      <c r="H10" s="24">
        <v>1</v>
      </c>
      <c r="I10" s="25" t="s">
        <v>31</v>
      </c>
      <c r="J10" s="25" t="s">
        <v>31</v>
      </c>
      <c r="K10" s="25" t="s">
        <v>31</v>
      </c>
      <c r="L10" s="25" t="s">
        <v>31</v>
      </c>
      <c r="M10" s="16"/>
      <c r="N10" s="16"/>
      <c r="O10" s="16"/>
      <c r="P10" s="16"/>
      <c r="Q10" s="16"/>
      <c r="R10" s="16"/>
      <c r="S10" s="16"/>
      <c r="T10" s="16"/>
      <c r="U10" s="16"/>
      <c r="V10" s="16"/>
      <c r="W10" s="16"/>
      <c r="X10" s="16"/>
      <c r="Y10" s="16"/>
      <c r="Z10" s="16"/>
      <c r="AA10" s="16"/>
      <c r="AB10" s="16"/>
    </row>
    <row r="11" spans="1:28" ht="80.25" customHeight="1">
      <c r="A11" s="17" t="s">
        <v>36</v>
      </c>
      <c r="B11" s="18" t="s">
        <v>37</v>
      </c>
      <c r="C11" s="18" t="s">
        <v>38</v>
      </c>
      <c r="D11" s="17" t="s">
        <v>29</v>
      </c>
      <c r="E11" s="19"/>
      <c r="F11" s="23">
        <v>46247</v>
      </c>
      <c r="G11" s="17" t="s">
        <v>30</v>
      </c>
      <c r="H11" s="24">
        <v>1</v>
      </c>
      <c r="I11" s="22"/>
      <c r="J11" s="22"/>
      <c r="K11" s="25" t="s">
        <v>31</v>
      </c>
      <c r="L11" s="25" t="s">
        <v>31</v>
      </c>
      <c r="M11" s="16"/>
      <c r="N11" s="16"/>
      <c r="O11" s="16"/>
      <c r="P11" s="16"/>
      <c r="Q11" s="16"/>
      <c r="R11" s="16"/>
      <c r="S11" s="16"/>
      <c r="T11" s="16"/>
      <c r="U11" s="16"/>
      <c r="V11" s="16"/>
      <c r="W11" s="16"/>
      <c r="X11" s="16"/>
      <c r="Y11" s="16"/>
      <c r="Z11" s="16"/>
      <c r="AA11" s="16"/>
      <c r="AB11" s="16"/>
    </row>
    <row r="12" spans="1:28" ht="80.25" customHeight="1">
      <c r="A12" s="17" t="s">
        <v>39</v>
      </c>
      <c r="B12" s="18" t="s">
        <v>40</v>
      </c>
      <c r="C12" s="18" t="s">
        <v>41</v>
      </c>
      <c r="D12" s="17" t="s">
        <v>29</v>
      </c>
      <c r="E12" s="18"/>
      <c r="F12" s="23">
        <v>46248</v>
      </c>
      <c r="G12" s="17" t="s">
        <v>30</v>
      </c>
      <c r="H12" s="24">
        <v>1</v>
      </c>
      <c r="I12" s="25"/>
      <c r="J12" s="25"/>
      <c r="K12" s="25" t="s">
        <v>31</v>
      </c>
      <c r="L12" s="25" t="s">
        <v>31</v>
      </c>
      <c r="M12" s="16"/>
      <c r="N12" s="16"/>
      <c r="O12" s="16"/>
      <c r="P12" s="16"/>
      <c r="Q12" s="16"/>
      <c r="R12" s="16"/>
      <c r="S12" s="16"/>
      <c r="T12" s="16"/>
      <c r="U12" s="16"/>
      <c r="V12" s="16"/>
      <c r="W12" s="16"/>
      <c r="X12" s="16"/>
      <c r="Y12" s="16"/>
      <c r="Z12" s="16"/>
      <c r="AA12" s="16"/>
      <c r="AB12" s="16"/>
    </row>
    <row r="13" spans="1:28" ht="80.25" customHeight="1">
      <c r="A13" s="17" t="s">
        <v>42</v>
      </c>
      <c r="B13" s="18" t="s">
        <v>43</v>
      </c>
      <c r="C13" s="18" t="s">
        <v>44</v>
      </c>
      <c r="D13" s="17" t="s">
        <v>29</v>
      </c>
      <c r="E13" s="16"/>
      <c r="F13" s="23">
        <v>46254</v>
      </c>
      <c r="G13" s="17" t="s">
        <v>30</v>
      </c>
      <c r="H13" s="24">
        <v>1</v>
      </c>
      <c r="I13" s="16"/>
      <c r="J13" s="16"/>
      <c r="K13" s="25" t="s">
        <v>31</v>
      </c>
      <c r="L13" s="25" t="s">
        <v>31</v>
      </c>
      <c r="M13" s="16"/>
      <c r="N13" s="16"/>
      <c r="O13" s="16"/>
      <c r="P13" s="16"/>
      <c r="Q13" s="16"/>
      <c r="R13" s="16"/>
      <c r="S13" s="16"/>
      <c r="T13" s="16"/>
      <c r="U13" s="16"/>
      <c r="V13" s="16"/>
      <c r="W13" s="16"/>
      <c r="X13" s="16"/>
      <c r="Y13" s="16"/>
      <c r="Z13" s="16"/>
      <c r="AA13" s="16"/>
      <c r="AB13" s="16"/>
    </row>
    <row r="14" spans="1:28" ht="80.25" customHeight="1">
      <c r="A14" s="17" t="s">
        <v>45</v>
      </c>
      <c r="B14" s="18" t="s">
        <v>46</v>
      </c>
      <c r="C14" s="18" t="s">
        <v>47</v>
      </c>
      <c r="D14" s="17" t="s">
        <v>29</v>
      </c>
      <c r="E14" s="16"/>
      <c r="F14" s="23">
        <v>46255</v>
      </c>
      <c r="G14" s="17" t="s">
        <v>30</v>
      </c>
      <c r="H14" s="24">
        <v>1</v>
      </c>
      <c r="I14" s="16"/>
      <c r="J14" s="16"/>
      <c r="K14" s="25" t="s">
        <v>31</v>
      </c>
      <c r="L14" s="25" t="s">
        <v>31</v>
      </c>
      <c r="M14" s="16"/>
      <c r="N14" s="16"/>
      <c r="O14" s="16"/>
      <c r="P14" s="16"/>
      <c r="Q14" s="16"/>
      <c r="R14" s="16"/>
      <c r="S14" s="16"/>
      <c r="T14" s="16"/>
      <c r="U14" s="16"/>
      <c r="V14" s="16"/>
      <c r="W14" s="16"/>
      <c r="X14" s="16"/>
      <c r="Y14" s="16"/>
      <c r="Z14" s="16"/>
      <c r="AA14" s="16"/>
      <c r="AB14" s="16"/>
    </row>
    <row r="15" spans="1:28" ht="80.25" customHeight="1">
      <c r="A15" s="17" t="s">
        <v>48</v>
      </c>
      <c r="B15" s="18" t="s">
        <v>49</v>
      </c>
      <c r="C15" s="18" t="s">
        <v>50</v>
      </c>
      <c r="D15" s="17" t="s">
        <v>29</v>
      </c>
      <c r="E15" s="16"/>
      <c r="F15" s="23">
        <v>46256</v>
      </c>
      <c r="G15" s="17" t="s">
        <v>51</v>
      </c>
      <c r="H15" s="16"/>
      <c r="I15" s="16"/>
      <c r="J15" s="16"/>
      <c r="K15" s="16"/>
      <c r="L15" s="16"/>
      <c r="M15" s="16"/>
      <c r="N15" s="16"/>
      <c r="O15" s="16"/>
      <c r="P15" s="16"/>
      <c r="Q15" s="16"/>
      <c r="R15" s="16"/>
      <c r="S15" s="16"/>
      <c r="T15" s="16"/>
      <c r="U15" s="16"/>
      <c r="V15" s="16"/>
      <c r="W15" s="16"/>
      <c r="X15" s="16"/>
      <c r="Y15" s="16"/>
      <c r="Z15" s="16"/>
      <c r="AA15" s="16"/>
      <c r="AB15" s="16"/>
    </row>
    <row r="16" spans="1:28" ht="80.25" customHeight="1">
      <c r="A16" s="17" t="s">
        <v>52</v>
      </c>
      <c r="B16" s="18" t="s">
        <v>53</v>
      </c>
      <c r="C16" s="18" t="s">
        <v>54</v>
      </c>
      <c r="D16" s="17" t="s">
        <v>29</v>
      </c>
      <c r="E16" s="16"/>
      <c r="F16" s="23">
        <v>46257</v>
      </c>
      <c r="G16" s="17" t="s">
        <v>30</v>
      </c>
      <c r="H16" s="24">
        <v>1</v>
      </c>
      <c r="I16" s="16"/>
      <c r="J16" s="25" t="s">
        <v>31</v>
      </c>
      <c r="K16" s="25" t="s">
        <v>31</v>
      </c>
      <c r="L16" s="16"/>
      <c r="M16" s="16"/>
      <c r="N16" s="16"/>
      <c r="O16" s="16"/>
      <c r="P16" s="16"/>
      <c r="Q16" s="16"/>
      <c r="R16" s="16"/>
      <c r="S16" s="16"/>
      <c r="T16" s="16"/>
      <c r="U16" s="16"/>
      <c r="V16" s="16"/>
      <c r="W16" s="16"/>
      <c r="X16" s="16"/>
      <c r="Y16" s="16"/>
      <c r="Z16" s="16"/>
      <c r="AA16" s="16"/>
      <c r="AB16" s="16"/>
    </row>
    <row r="17" spans="1:28" ht="80.25" customHeight="1">
      <c r="A17" s="17" t="s">
        <v>55</v>
      </c>
      <c r="B17" s="18" t="s">
        <v>56</v>
      </c>
      <c r="C17" s="18" t="s">
        <v>57</v>
      </c>
      <c r="D17" s="17" t="s">
        <v>29</v>
      </c>
      <c r="E17" s="16"/>
      <c r="F17" s="23">
        <v>46258</v>
      </c>
      <c r="G17" s="17" t="s">
        <v>58</v>
      </c>
      <c r="H17" s="24">
        <v>0.5</v>
      </c>
      <c r="I17" s="16"/>
      <c r="J17" s="16"/>
      <c r="K17" s="16"/>
      <c r="L17" s="16"/>
      <c r="M17" s="16"/>
      <c r="N17" s="16"/>
      <c r="O17" s="16"/>
      <c r="P17" s="16"/>
      <c r="Q17" s="16"/>
      <c r="R17" s="16"/>
      <c r="S17" s="16"/>
      <c r="T17" s="16"/>
      <c r="U17" s="16"/>
      <c r="V17" s="16"/>
      <c r="W17" s="16"/>
      <c r="X17" s="16"/>
      <c r="Y17" s="16"/>
      <c r="Z17" s="16"/>
      <c r="AA17" s="16"/>
      <c r="AB17" s="16"/>
    </row>
    <row r="18" spans="1:28" ht="80.25" customHeight="1">
      <c r="A18" s="17" t="s">
        <v>59</v>
      </c>
      <c r="B18" s="18" t="s">
        <v>60</v>
      </c>
      <c r="C18" s="18" t="s">
        <v>61</v>
      </c>
      <c r="D18" s="17" t="s">
        <v>29</v>
      </c>
      <c r="E18" s="16"/>
      <c r="F18" s="23">
        <v>46259</v>
      </c>
      <c r="G18" s="17" t="s">
        <v>30</v>
      </c>
      <c r="H18" s="24">
        <v>1</v>
      </c>
      <c r="I18" s="16"/>
      <c r="J18" s="25" t="s">
        <v>31</v>
      </c>
      <c r="K18" s="25" t="s">
        <v>31</v>
      </c>
      <c r="L18" s="16"/>
      <c r="M18" s="16"/>
      <c r="N18" s="16"/>
      <c r="O18" s="16"/>
      <c r="P18" s="16"/>
      <c r="Q18" s="16"/>
      <c r="R18" s="16"/>
      <c r="S18" s="16"/>
      <c r="T18" s="16"/>
      <c r="U18" s="16"/>
      <c r="V18" s="16"/>
      <c r="W18" s="16"/>
      <c r="X18" s="16"/>
      <c r="Y18" s="16"/>
      <c r="Z18" s="16"/>
      <c r="AA18" s="16"/>
      <c r="AB18" s="16"/>
    </row>
    <row r="19" spans="1:28" ht="80.25" customHeight="1">
      <c r="A19" s="17" t="s">
        <v>62</v>
      </c>
      <c r="B19" s="18" t="s">
        <v>63</v>
      </c>
      <c r="C19" s="18" t="s">
        <v>64</v>
      </c>
      <c r="D19" s="17" t="s">
        <v>29</v>
      </c>
      <c r="E19" s="16"/>
      <c r="F19" s="23">
        <v>46260</v>
      </c>
      <c r="G19" s="17" t="s">
        <v>30</v>
      </c>
      <c r="H19" s="24">
        <v>1</v>
      </c>
      <c r="I19" s="16"/>
      <c r="J19" s="25" t="s">
        <v>31</v>
      </c>
      <c r="K19" s="25" t="s">
        <v>31</v>
      </c>
      <c r="L19" s="25" t="s">
        <v>31</v>
      </c>
      <c r="M19" s="16"/>
      <c r="N19" s="16"/>
      <c r="O19" s="16"/>
      <c r="P19" s="16"/>
      <c r="Q19" s="16"/>
      <c r="R19" s="16"/>
      <c r="S19" s="16"/>
      <c r="T19" s="16"/>
      <c r="U19" s="16"/>
      <c r="V19" s="16"/>
      <c r="W19" s="16"/>
      <c r="X19" s="16"/>
      <c r="Y19" s="16"/>
      <c r="Z19" s="16"/>
      <c r="AA19" s="16"/>
      <c r="AB19" s="16"/>
    </row>
    <row r="20" spans="1:28" ht="80.25" customHeight="1">
      <c r="A20" s="17" t="s">
        <v>65</v>
      </c>
      <c r="B20" s="18" t="s">
        <v>66</v>
      </c>
      <c r="C20" s="18" t="s">
        <v>67</v>
      </c>
      <c r="D20" s="17" t="s">
        <v>29</v>
      </c>
      <c r="E20" s="16"/>
      <c r="F20" s="23">
        <v>46261</v>
      </c>
      <c r="G20" s="17" t="s">
        <v>30</v>
      </c>
      <c r="H20" s="24">
        <v>1</v>
      </c>
      <c r="I20" s="16"/>
      <c r="J20" s="16"/>
      <c r="K20" s="25" t="s">
        <v>31</v>
      </c>
      <c r="L20" s="25" t="s">
        <v>31</v>
      </c>
      <c r="M20" s="16"/>
      <c r="N20" s="16"/>
      <c r="O20" s="16"/>
      <c r="P20" s="16"/>
      <c r="Q20" s="16"/>
      <c r="R20" s="16"/>
      <c r="S20" s="16"/>
      <c r="T20" s="16"/>
      <c r="U20" s="16"/>
      <c r="V20" s="16"/>
      <c r="W20" s="16"/>
      <c r="X20" s="16"/>
      <c r="Y20" s="16"/>
      <c r="Z20" s="16"/>
      <c r="AA20" s="16"/>
      <c r="AB20" s="16"/>
    </row>
    <row r="21" spans="1:28" ht="80.25" customHeight="1">
      <c r="A21" s="17" t="s">
        <v>68</v>
      </c>
      <c r="B21" s="18" t="s">
        <v>69</v>
      </c>
      <c r="C21" s="18" t="s">
        <v>70</v>
      </c>
      <c r="D21" s="17" t="s">
        <v>29</v>
      </c>
      <c r="E21" s="16" t="s">
        <v>71</v>
      </c>
      <c r="F21" s="23">
        <v>46268</v>
      </c>
      <c r="G21" s="17" t="s">
        <v>58</v>
      </c>
      <c r="H21" s="16"/>
      <c r="I21" s="16"/>
      <c r="J21" s="16"/>
      <c r="K21" s="16" t="s">
        <v>72</v>
      </c>
      <c r="L21" s="16" t="s">
        <v>72</v>
      </c>
      <c r="M21" s="16" t="s">
        <v>72</v>
      </c>
      <c r="N21" s="16"/>
      <c r="O21" s="16"/>
      <c r="P21" s="16"/>
      <c r="Q21" s="16"/>
      <c r="R21" s="16"/>
      <c r="S21" s="16"/>
      <c r="T21" s="16"/>
      <c r="U21" s="16"/>
      <c r="V21" s="16"/>
      <c r="W21" s="16"/>
      <c r="X21" s="16"/>
      <c r="Y21" s="16"/>
      <c r="Z21" s="16"/>
      <c r="AA21" s="16"/>
      <c r="AB21" s="16"/>
    </row>
    <row r="22" spans="1:28" ht="80.25" customHeight="1">
      <c r="A22" s="17" t="s">
        <v>73</v>
      </c>
      <c r="B22" s="18" t="s">
        <v>74</v>
      </c>
      <c r="C22" s="18" t="s">
        <v>75</v>
      </c>
      <c r="D22" s="17" t="s">
        <v>29</v>
      </c>
      <c r="E22" s="16" t="s">
        <v>71</v>
      </c>
      <c r="F22" s="23">
        <v>46268</v>
      </c>
      <c r="G22" s="17" t="s">
        <v>58</v>
      </c>
      <c r="H22" s="16"/>
      <c r="I22" s="16"/>
      <c r="J22" s="16"/>
      <c r="K22" s="16" t="s">
        <v>72</v>
      </c>
      <c r="L22" s="16" t="s">
        <v>72</v>
      </c>
      <c r="M22" s="16" t="s">
        <v>72</v>
      </c>
      <c r="N22" s="16"/>
      <c r="O22" s="16"/>
      <c r="P22" s="16"/>
      <c r="Q22" s="16"/>
      <c r="R22" s="16"/>
      <c r="S22" s="16"/>
      <c r="T22" s="16"/>
      <c r="U22" s="16"/>
      <c r="V22" s="16"/>
      <c r="W22" s="16"/>
      <c r="X22" s="16"/>
      <c r="Y22" s="16"/>
      <c r="Z22" s="16"/>
      <c r="AA22" s="16"/>
      <c r="AB22" s="16"/>
    </row>
    <row r="23" spans="1:28" ht="80.25" customHeight="1">
      <c r="A23" s="17" t="s">
        <v>76</v>
      </c>
      <c r="B23" s="18" t="s">
        <v>77</v>
      </c>
      <c r="C23" s="18" t="s">
        <v>78</v>
      </c>
      <c r="D23" s="17" t="s">
        <v>29</v>
      </c>
      <c r="E23" s="16"/>
      <c r="F23" s="23">
        <v>46264</v>
      </c>
      <c r="G23" s="17" t="s">
        <v>58</v>
      </c>
      <c r="H23" s="16"/>
      <c r="I23" s="16"/>
      <c r="J23" s="16"/>
      <c r="K23" s="16"/>
      <c r="L23" s="16"/>
      <c r="M23" s="16"/>
      <c r="N23" s="16"/>
      <c r="O23" s="16"/>
      <c r="P23" s="16"/>
      <c r="Q23" s="16"/>
      <c r="R23" s="16"/>
      <c r="S23" s="16"/>
      <c r="T23" s="16"/>
      <c r="U23" s="16"/>
      <c r="V23" s="16"/>
      <c r="W23" s="16"/>
      <c r="X23" s="16"/>
      <c r="Y23" s="16"/>
      <c r="Z23" s="16"/>
      <c r="AA23" s="16"/>
      <c r="AB23" s="16"/>
    </row>
    <row r="24" spans="1:28" ht="21.95" customHeight="1">
      <c r="A24" s="57" t="s">
        <v>79</v>
      </c>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row>
    <row r="25" spans="1:28" ht="53.25" customHeight="1">
      <c r="A25" s="17" t="s">
        <v>26</v>
      </c>
      <c r="B25" s="18" t="s">
        <v>80</v>
      </c>
      <c r="C25" s="18" t="s">
        <v>81</v>
      </c>
      <c r="D25" s="17" t="s">
        <v>82</v>
      </c>
      <c r="E25" s="18"/>
      <c r="F25" s="25" t="s">
        <v>83</v>
      </c>
      <c r="G25" s="26" t="s">
        <v>30</v>
      </c>
      <c r="H25" s="21">
        <v>1</v>
      </c>
      <c r="I25" s="25"/>
      <c r="J25" s="25"/>
      <c r="K25" s="25"/>
      <c r="L25" s="25"/>
      <c r="M25" s="25"/>
      <c r="N25" s="25"/>
      <c r="O25" s="25"/>
      <c r="P25" s="25"/>
      <c r="Q25" s="25"/>
      <c r="R25" s="25"/>
      <c r="S25" s="25"/>
      <c r="T25" s="25"/>
      <c r="U25" s="25"/>
      <c r="V25" s="25"/>
      <c r="W25" s="25"/>
      <c r="X25" s="25"/>
      <c r="Y25" s="25"/>
      <c r="Z25" s="25"/>
      <c r="AA25" s="25"/>
      <c r="AB25" s="25"/>
    </row>
    <row r="26" spans="1:28" ht="53.25" customHeight="1">
      <c r="A26" s="17" t="s">
        <v>33</v>
      </c>
      <c r="B26" s="18" t="s">
        <v>84</v>
      </c>
      <c r="C26" s="18" t="s">
        <v>85</v>
      </c>
      <c r="D26" s="17" t="s">
        <v>82</v>
      </c>
      <c r="E26" s="18"/>
      <c r="F26" s="25" t="s">
        <v>86</v>
      </c>
      <c r="G26" s="26" t="s">
        <v>30</v>
      </c>
      <c r="H26" s="21">
        <v>1</v>
      </c>
      <c r="I26" s="25"/>
      <c r="J26" s="25"/>
      <c r="K26" s="25"/>
      <c r="L26" s="25"/>
      <c r="M26" s="25"/>
      <c r="N26" s="25"/>
      <c r="O26" s="25"/>
      <c r="P26" s="25"/>
      <c r="Q26" s="25"/>
      <c r="R26" s="25"/>
      <c r="S26" s="25"/>
      <c r="T26" s="25"/>
      <c r="U26" s="25"/>
      <c r="V26" s="25"/>
      <c r="W26" s="25"/>
      <c r="X26" s="25"/>
      <c r="Y26" s="25"/>
      <c r="Z26" s="25"/>
      <c r="AA26" s="25"/>
      <c r="AB26" s="25"/>
    </row>
    <row r="27" spans="1:28" ht="53.25" customHeight="1">
      <c r="A27" s="17" t="s">
        <v>36</v>
      </c>
      <c r="B27" s="18" t="s">
        <v>87</v>
      </c>
      <c r="C27" s="18" t="s">
        <v>88</v>
      </c>
      <c r="D27" s="17" t="s">
        <v>82</v>
      </c>
      <c r="E27" s="27"/>
      <c r="F27" s="25" t="s">
        <v>89</v>
      </c>
      <c r="G27" s="26" t="s">
        <v>30</v>
      </c>
      <c r="H27" s="21">
        <v>1</v>
      </c>
      <c r="I27" s="25"/>
      <c r="J27" s="25"/>
      <c r="K27" s="25"/>
      <c r="L27" s="25"/>
      <c r="M27" s="25"/>
      <c r="N27" s="25"/>
      <c r="O27" s="25"/>
      <c r="P27" s="25"/>
      <c r="Q27" s="25"/>
      <c r="R27" s="25"/>
      <c r="S27" s="25"/>
      <c r="T27" s="25"/>
      <c r="U27" s="25"/>
      <c r="V27" s="25"/>
      <c r="W27" s="25"/>
      <c r="X27" s="25"/>
      <c r="Y27" s="25"/>
      <c r="Z27" s="25"/>
      <c r="AA27" s="25"/>
      <c r="AB27" s="25"/>
    </row>
    <row r="28" spans="1:28" ht="53.25" customHeight="1">
      <c r="A28" s="17" t="s">
        <v>39</v>
      </c>
      <c r="B28" s="18" t="s">
        <v>90</v>
      </c>
      <c r="C28" s="18" t="s">
        <v>91</v>
      </c>
      <c r="D28" s="17" t="s">
        <v>82</v>
      </c>
      <c r="E28" s="18"/>
      <c r="F28" s="25" t="s">
        <v>89</v>
      </c>
      <c r="G28" s="26" t="s">
        <v>30</v>
      </c>
      <c r="H28" s="21">
        <v>1</v>
      </c>
      <c r="I28" s="25"/>
      <c r="J28" s="25"/>
      <c r="K28" s="25"/>
      <c r="L28" s="25"/>
      <c r="M28" s="25"/>
      <c r="N28" s="25"/>
      <c r="O28" s="25"/>
      <c r="P28" s="25"/>
      <c r="Q28" s="25"/>
      <c r="R28" s="25"/>
      <c r="S28" s="25"/>
      <c r="T28" s="25"/>
      <c r="U28" s="25"/>
      <c r="V28" s="25"/>
      <c r="W28" s="25"/>
      <c r="X28" s="25"/>
      <c r="Y28" s="25"/>
      <c r="Z28" s="25"/>
      <c r="AA28" s="25"/>
      <c r="AB28" s="25"/>
    </row>
    <row r="29" spans="1:28" ht="53.25" customHeight="1">
      <c r="A29" s="17" t="s">
        <v>42</v>
      </c>
      <c r="B29" s="18" t="s">
        <v>92</v>
      </c>
      <c r="C29" s="18" t="s">
        <v>93</v>
      </c>
      <c r="D29" s="17" t="s">
        <v>82</v>
      </c>
      <c r="E29" s="18"/>
      <c r="F29" s="25" t="s">
        <v>89</v>
      </c>
      <c r="G29" s="26" t="s">
        <v>30</v>
      </c>
      <c r="H29" s="21">
        <v>1</v>
      </c>
      <c r="I29" s="25"/>
      <c r="J29" s="25"/>
      <c r="K29" s="25"/>
      <c r="L29" s="25"/>
      <c r="M29" s="25"/>
      <c r="N29" s="25"/>
      <c r="O29" s="25"/>
      <c r="P29" s="25"/>
      <c r="Q29" s="25"/>
      <c r="R29" s="25"/>
      <c r="S29" s="25"/>
      <c r="T29" s="25"/>
      <c r="U29" s="25"/>
      <c r="V29" s="25"/>
      <c r="W29" s="25"/>
      <c r="X29" s="25"/>
      <c r="Y29" s="25"/>
      <c r="Z29" s="25"/>
      <c r="AA29" s="25"/>
      <c r="AB29" s="25"/>
    </row>
    <row r="30" spans="1:28" ht="53.25" customHeight="1">
      <c r="A30" s="17" t="s">
        <v>45</v>
      </c>
      <c r="B30" s="18" t="s">
        <v>94</v>
      </c>
      <c r="C30" s="18" t="s">
        <v>95</v>
      </c>
      <c r="D30" s="17" t="s">
        <v>82</v>
      </c>
      <c r="E30" s="18"/>
      <c r="F30" s="25" t="s">
        <v>96</v>
      </c>
      <c r="G30" s="26" t="s">
        <v>30</v>
      </c>
      <c r="H30" s="21">
        <v>1</v>
      </c>
      <c r="I30" s="25"/>
      <c r="J30" s="25"/>
      <c r="K30" s="25"/>
      <c r="L30" s="25"/>
      <c r="M30" s="25"/>
      <c r="N30" s="25"/>
      <c r="O30" s="25"/>
      <c r="P30" s="25"/>
      <c r="Q30" s="25"/>
      <c r="R30" s="25"/>
      <c r="S30" s="25"/>
      <c r="T30" s="25"/>
      <c r="U30" s="25"/>
      <c r="V30" s="25"/>
      <c r="W30" s="25"/>
      <c r="X30" s="25"/>
      <c r="Y30" s="25"/>
      <c r="Z30" s="25"/>
      <c r="AA30" s="25"/>
      <c r="AB30" s="25"/>
    </row>
    <row r="31" spans="1:28" ht="53.25" customHeight="1">
      <c r="A31" s="17" t="s">
        <v>48</v>
      </c>
      <c r="B31" s="18" t="s">
        <v>97</v>
      </c>
      <c r="C31" s="18" t="s">
        <v>98</v>
      </c>
      <c r="D31" s="17" t="s">
        <v>82</v>
      </c>
      <c r="E31" s="27" t="s">
        <v>99</v>
      </c>
      <c r="F31" s="25" t="s">
        <v>100</v>
      </c>
      <c r="G31" s="26" t="s">
        <v>30</v>
      </c>
      <c r="H31" s="21">
        <v>1</v>
      </c>
      <c r="I31" s="25"/>
      <c r="J31" s="25"/>
      <c r="K31" s="25"/>
      <c r="L31" s="25"/>
      <c r="M31" s="25"/>
      <c r="N31" s="25"/>
      <c r="O31" s="25"/>
      <c r="P31" s="25"/>
      <c r="Q31" s="25"/>
      <c r="R31" s="25"/>
      <c r="S31" s="25"/>
      <c r="T31" s="25"/>
      <c r="U31" s="25"/>
      <c r="V31" s="25"/>
      <c r="W31" s="25"/>
      <c r="X31" s="25"/>
      <c r="Y31" s="25"/>
      <c r="Z31" s="25"/>
      <c r="AA31" s="25"/>
      <c r="AB31" s="25"/>
    </row>
    <row r="32" spans="1:28" ht="53.25" customHeight="1">
      <c r="A32" s="17" t="s">
        <v>52</v>
      </c>
      <c r="B32" s="18" t="s">
        <v>101</v>
      </c>
      <c r="C32" s="18" t="s">
        <v>102</v>
      </c>
      <c r="D32" s="17" t="s">
        <v>82</v>
      </c>
      <c r="E32" s="27" t="s">
        <v>99</v>
      </c>
      <c r="F32" s="25" t="s">
        <v>103</v>
      </c>
      <c r="G32" s="26" t="s">
        <v>30</v>
      </c>
      <c r="H32" s="21">
        <v>1</v>
      </c>
      <c r="I32" s="25"/>
      <c r="J32" s="25"/>
      <c r="K32" s="25"/>
      <c r="L32" s="25"/>
      <c r="M32" s="25"/>
      <c r="N32" s="25"/>
      <c r="O32" s="25"/>
      <c r="P32" s="25"/>
      <c r="Q32" s="25"/>
      <c r="R32" s="25"/>
      <c r="S32" s="25"/>
      <c r="T32" s="25"/>
      <c r="U32" s="25"/>
      <c r="V32" s="25"/>
      <c r="W32" s="25"/>
      <c r="X32" s="25"/>
      <c r="Y32" s="25"/>
      <c r="Z32" s="25"/>
      <c r="AA32" s="25"/>
      <c r="AB32" s="25"/>
    </row>
    <row r="33" spans="1:28" ht="53.25" customHeight="1">
      <c r="A33" s="17" t="s">
        <v>55</v>
      </c>
      <c r="B33" s="18" t="s">
        <v>104</v>
      </c>
      <c r="C33" s="18" t="s">
        <v>105</v>
      </c>
      <c r="D33" s="17" t="s">
        <v>82</v>
      </c>
      <c r="E33" s="27" t="s">
        <v>99</v>
      </c>
      <c r="F33" s="25" t="s">
        <v>106</v>
      </c>
      <c r="G33" s="26" t="s">
        <v>30</v>
      </c>
      <c r="H33" s="21">
        <v>1</v>
      </c>
      <c r="I33" s="25"/>
      <c r="J33" s="25"/>
      <c r="K33" s="25"/>
      <c r="L33" s="25"/>
      <c r="M33" s="25"/>
      <c r="N33" s="25"/>
      <c r="O33" s="25"/>
      <c r="P33" s="25"/>
      <c r="Q33" s="25"/>
      <c r="R33" s="25"/>
      <c r="S33" s="25"/>
      <c r="T33" s="25"/>
      <c r="U33" s="25"/>
      <c r="V33" s="25"/>
      <c r="W33" s="25"/>
      <c r="X33" s="25"/>
      <c r="Y33" s="25"/>
      <c r="Z33" s="25"/>
      <c r="AA33" s="25"/>
      <c r="AB33" s="25"/>
    </row>
    <row r="34" spans="1:28" ht="53.25" customHeight="1">
      <c r="A34" s="17" t="s">
        <v>59</v>
      </c>
      <c r="B34" s="18" t="s">
        <v>107</v>
      </c>
      <c r="C34" s="18" t="s">
        <v>108</v>
      </c>
      <c r="D34" s="17" t="s">
        <v>82</v>
      </c>
      <c r="E34" s="27" t="s">
        <v>99</v>
      </c>
      <c r="F34" s="23">
        <v>46061</v>
      </c>
      <c r="G34" s="26" t="s">
        <v>30</v>
      </c>
      <c r="H34" s="21">
        <v>1</v>
      </c>
      <c r="I34" s="25" t="s">
        <v>31</v>
      </c>
      <c r="J34" s="25"/>
      <c r="K34" s="25"/>
      <c r="L34" s="25"/>
      <c r="M34" s="25"/>
      <c r="N34" s="25"/>
      <c r="O34" s="25"/>
      <c r="P34" s="25"/>
      <c r="Q34" s="25"/>
      <c r="R34" s="25"/>
      <c r="S34" s="25"/>
      <c r="T34" s="25"/>
      <c r="U34" s="25"/>
      <c r="V34" s="25"/>
      <c r="W34" s="25"/>
      <c r="X34" s="25"/>
      <c r="Y34" s="25"/>
      <c r="Z34" s="25"/>
      <c r="AA34" s="25"/>
      <c r="AB34" s="25"/>
    </row>
    <row r="35" spans="1:28" ht="53.25" customHeight="1">
      <c r="A35" s="17" t="s">
        <v>62</v>
      </c>
      <c r="B35" s="18" t="s">
        <v>109</v>
      </c>
      <c r="C35" s="18" t="s">
        <v>110</v>
      </c>
      <c r="D35" s="17" t="s">
        <v>82</v>
      </c>
      <c r="E35" s="27" t="s">
        <v>99</v>
      </c>
      <c r="F35" s="23">
        <v>46089</v>
      </c>
      <c r="G35" s="26" t="s">
        <v>30</v>
      </c>
      <c r="H35" s="21">
        <v>1</v>
      </c>
      <c r="I35" s="25"/>
      <c r="J35" s="25" t="s">
        <v>31</v>
      </c>
      <c r="K35" s="25"/>
      <c r="L35" s="25"/>
      <c r="M35" s="25"/>
      <c r="N35" s="25"/>
      <c r="O35" s="25"/>
      <c r="P35" s="25"/>
      <c r="Q35" s="25"/>
      <c r="R35" s="25"/>
      <c r="S35" s="25"/>
      <c r="T35" s="25"/>
      <c r="U35" s="25"/>
      <c r="V35" s="25"/>
      <c r="W35" s="25"/>
      <c r="X35" s="25"/>
      <c r="Y35" s="25"/>
      <c r="Z35" s="25"/>
      <c r="AA35" s="25"/>
      <c r="AB35" s="25"/>
    </row>
    <row r="36" spans="1:28" ht="53.25" customHeight="1">
      <c r="A36" s="17" t="s">
        <v>65</v>
      </c>
      <c r="B36" s="18" t="s">
        <v>111</v>
      </c>
      <c r="C36" s="18" t="s">
        <v>112</v>
      </c>
      <c r="D36" s="17" t="s">
        <v>82</v>
      </c>
      <c r="E36" s="27" t="s">
        <v>99</v>
      </c>
      <c r="F36" s="23">
        <v>46089</v>
      </c>
      <c r="G36" s="26" t="s">
        <v>30</v>
      </c>
      <c r="H36" s="21">
        <v>1</v>
      </c>
      <c r="I36" s="25" t="s">
        <v>31</v>
      </c>
      <c r="J36" s="25"/>
      <c r="K36" s="25"/>
      <c r="L36" s="25"/>
      <c r="M36" s="25"/>
      <c r="N36" s="25"/>
      <c r="O36" s="25"/>
      <c r="P36" s="25"/>
      <c r="Q36" s="25"/>
      <c r="R36" s="25"/>
      <c r="S36" s="25"/>
      <c r="T36" s="25"/>
      <c r="U36" s="25"/>
      <c r="V36" s="25"/>
      <c r="W36" s="25"/>
      <c r="X36" s="25"/>
      <c r="Y36" s="25"/>
      <c r="Z36" s="25"/>
      <c r="AA36" s="25"/>
      <c r="AB36" s="25"/>
    </row>
    <row r="37" spans="1:28" ht="53.25" customHeight="1">
      <c r="A37" s="17" t="s">
        <v>68</v>
      </c>
      <c r="B37" s="18" t="s">
        <v>113</v>
      </c>
      <c r="C37" s="18" t="s">
        <v>114</v>
      </c>
      <c r="D37" s="17" t="s">
        <v>82</v>
      </c>
      <c r="E37" s="27" t="s">
        <v>99</v>
      </c>
      <c r="F37" s="23">
        <v>46303</v>
      </c>
      <c r="G37" s="26" t="s">
        <v>30</v>
      </c>
      <c r="H37" s="21">
        <v>1</v>
      </c>
      <c r="I37" s="25"/>
      <c r="J37" s="25" t="s">
        <v>31</v>
      </c>
      <c r="K37" s="25"/>
      <c r="L37" s="25"/>
      <c r="M37" s="25"/>
      <c r="N37" s="25"/>
      <c r="O37" s="25"/>
      <c r="P37" s="25"/>
      <c r="Q37" s="25"/>
      <c r="R37" s="25"/>
      <c r="S37" s="25"/>
      <c r="T37" s="25"/>
      <c r="U37" s="25"/>
      <c r="V37" s="25"/>
      <c r="W37" s="25"/>
      <c r="X37" s="25"/>
      <c r="Y37" s="25"/>
      <c r="Z37" s="25"/>
      <c r="AA37" s="25"/>
      <c r="AB37" s="25"/>
    </row>
    <row r="38" spans="1:28" ht="53.25" customHeight="1">
      <c r="A38" s="28" t="s">
        <v>73</v>
      </c>
      <c r="B38" s="29" t="s">
        <v>115</v>
      </c>
      <c r="C38" s="29" t="s">
        <v>116</v>
      </c>
      <c r="D38" s="17" t="s">
        <v>82</v>
      </c>
      <c r="E38" s="27" t="s">
        <v>99</v>
      </c>
      <c r="F38" s="25" t="s">
        <v>117</v>
      </c>
      <c r="G38" s="26" t="s">
        <v>30</v>
      </c>
      <c r="H38" s="21">
        <v>1</v>
      </c>
      <c r="I38" s="25"/>
      <c r="J38" s="25" t="s">
        <v>31</v>
      </c>
      <c r="K38" s="25"/>
      <c r="L38" s="25"/>
      <c r="M38" s="25"/>
      <c r="N38" s="25"/>
      <c r="O38" s="25"/>
      <c r="P38" s="25"/>
      <c r="Q38" s="25"/>
      <c r="R38" s="25"/>
      <c r="S38" s="25"/>
      <c r="T38" s="25"/>
      <c r="U38" s="25"/>
      <c r="V38" s="25"/>
      <c r="W38" s="25"/>
      <c r="X38" s="25"/>
      <c r="Y38" s="25"/>
      <c r="Z38" s="25"/>
      <c r="AA38" s="25"/>
      <c r="AB38" s="25"/>
    </row>
    <row r="39" spans="1:28" ht="21.95" customHeight="1">
      <c r="A39" s="62" t="s">
        <v>118</v>
      </c>
      <c r="B39" s="71"/>
      <c r="C39" s="71"/>
      <c r="D39" s="70"/>
      <c r="E39" s="70"/>
      <c r="F39" s="70"/>
      <c r="G39" s="70"/>
      <c r="H39" s="70"/>
      <c r="I39" s="70"/>
      <c r="J39" s="70"/>
      <c r="K39" s="70"/>
      <c r="L39" s="70"/>
      <c r="M39" s="70"/>
      <c r="N39" s="70"/>
      <c r="O39" s="70"/>
      <c r="P39" s="70"/>
      <c r="Q39" s="70"/>
      <c r="R39" s="70"/>
      <c r="S39" s="70"/>
      <c r="T39" s="70"/>
      <c r="U39" s="70"/>
      <c r="V39" s="70"/>
      <c r="W39" s="70"/>
      <c r="X39" s="70"/>
      <c r="Y39" s="70"/>
      <c r="Z39" s="70"/>
      <c r="AA39" s="70"/>
      <c r="AB39" s="70"/>
    </row>
    <row r="40" spans="1:28" ht="48" customHeight="1">
      <c r="A40" s="26" t="s">
        <v>26</v>
      </c>
      <c r="B40" s="18" t="s">
        <v>119</v>
      </c>
      <c r="C40" s="18" t="s">
        <v>120</v>
      </c>
      <c r="D40" s="26" t="s">
        <v>121</v>
      </c>
      <c r="E40" s="18" t="s">
        <v>29</v>
      </c>
      <c r="F40" s="25" t="s">
        <v>89</v>
      </c>
      <c r="G40" s="26" t="s">
        <v>122</v>
      </c>
      <c r="H40" s="24">
        <v>0.8</v>
      </c>
      <c r="I40" s="25"/>
      <c r="J40" s="25"/>
      <c r="K40" s="25" t="s">
        <v>32</v>
      </c>
      <c r="L40" s="25"/>
      <c r="M40" s="25"/>
      <c r="N40" s="25"/>
      <c r="O40" s="25"/>
      <c r="P40" s="25"/>
      <c r="Q40" s="25"/>
      <c r="R40" s="25"/>
      <c r="S40" s="25"/>
      <c r="T40" s="25"/>
      <c r="U40" s="25"/>
      <c r="V40" s="25"/>
      <c r="W40" s="25"/>
      <c r="X40" s="25"/>
      <c r="Y40" s="25"/>
      <c r="Z40" s="25"/>
      <c r="AA40" s="25"/>
      <c r="AB40" s="25"/>
    </row>
    <row r="41" spans="1:28" ht="48" customHeight="1">
      <c r="A41" s="26" t="s">
        <v>33</v>
      </c>
      <c r="B41" s="18" t="s">
        <v>123</v>
      </c>
      <c r="C41" s="18" t="s">
        <v>124</v>
      </c>
      <c r="D41" s="17" t="s">
        <v>121</v>
      </c>
      <c r="E41" s="18" t="s">
        <v>29</v>
      </c>
      <c r="F41" s="25" t="s">
        <v>89</v>
      </c>
      <c r="G41" s="17" t="s">
        <v>122</v>
      </c>
      <c r="H41" s="21">
        <v>0.8</v>
      </c>
      <c r="I41" s="22"/>
      <c r="J41" s="22"/>
      <c r="K41" s="22" t="s">
        <v>32</v>
      </c>
      <c r="L41" s="22"/>
      <c r="M41" s="22"/>
      <c r="N41" s="22"/>
      <c r="O41" s="22"/>
      <c r="P41" s="22"/>
      <c r="Q41" s="22"/>
      <c r="R41" s="22"/>
      <c r="S41" s="22"/>
      <c r="T41" s="22"/>
      <c r="U41" s="22"/>
      <c r="V41" s="22"/>
      <c r="W41" s="22"/>
      <c r="X41" s="22"/>
      <c r="Y41" s="22"/>
      <c r="Z41" s="22"/>
      <c r="AA41" s="22"/>
      <c r="AB41" s="22"/>
    </row>
    <row r="42" spans="1:28" ht="48" customHeight="1">
      <c r="A42" s="26" t="s">
        <v>36</v>
      </c>
      <c r="B42" s="18" t="s">
        <v>125</v>
      </c>
      <c r="C42" s="30" t="s">
        <v>126</v>
      </c>
      <c r="D42" s="26" t="s">
        <v>29</v>
      </c>
      <c r="E42" s="18" t="s">
        <v>99</v>
      </c>
      <c r="F42" s="23" t="s">
        <v>127</v>
      </c>
      <c r="G42" s="26" t="s">
        <v>30</v>
      </c>
      <c r="H42" s="24">
        <v>1</v>
      </c>
      <c r="I42" s="25"/>
      <c r="J42" s="25"/>
      <c r="K42" s="25" t="s">
        <v>31</v>
      </c>
      <c r="L42" s="25"/>
      <c r="M42" s="25"/>
      <c r="N42" s="25"/>
      <c r="O42" s="25"/>
      <c r="P42" s="25"/>
      <c r="Q42" s="25"/>
      <c r="R42" s="25"/>
      <c r="S42" s="25"/>
      <c r="T42" s="25"/>
      <c r="U42" s="25"/>
      <c r="V42" s="25"/>
      <c r="W42" s="25"/>
      <c r="X42" s="25"/>
      <c r="Y42" s="25"/>
      <c r="Z42" s="25"/>
      <c r="AA42" s="25"/>
      <c r="AB42" s="25"/>
    </row>
    <row r="43" spans="1:28" ht="48" customHeight="1">
      <c r="A43" s="26" t="s">
        <v>39</v>
      </c>
      <c r="B43" s="18" t="s">
        <v>125</v>
      </c>
      <c r="C43" s="31" t="s">
        <v>128</v>
      </c>
      <c r="D43" s="26" t="s">
        <v>29</v>
      </c>
      <c r="E43" s="32" t="s">
        <v>99</v>
      </c>
      <c r="F43" s="23" t="s">
        <v>129</v>
      </c>
      <c r="G43" s="26" t="s">
        <v>30</v>
      </c>
      <c r="H43" s="33">
        <v>1</v>
      </c>
      <c r="I43" s="22"/>
      <c r="J43" s="22"/>
      <c r="K43" s="25" t="s">
        <v>31</v>
      </c>
      <c r="L43" s="22"/>
      <c r="M43" s="22"/>
      <c r="N43" s="22"/>
      <c r="O43" s="22"/>
      <c r="P43" s="22"/>
      <c r="Q43" s="22"/>
      <c r="R43" s="22"/>
      <c r="S43" s="22"/>
      <c r="T43" s="22"/>
      <c r="U43" s="22"/>
      <c r="V43" s="22"/>
      <c r="W43" s="22"/>
      <c r="X43" s="22"/>
      <c r="Y43" s="22"/>
      <c r="Z43" s="22"/>
      <c r="AA43" s="22"/>
      <c r="AB43" s="22"/>
    </row>
    <row r="44" spans="1:28" ht="48" customHeight="1">
      <c r="A44" s="26" t="s">
        <v>42</v>
      </c>
      <c r="B44" s="18" t="s">
        <v>125</v>
      </c>
      <c r="C44" s="31" t="s">
        <v>130</v>
      </c>
      <c r="D44" s="26" t="s">
        <v>29</v>
      </c>
      <c r="E44" s="32" t="s">
        <v>99</v>
      </c>
      <c r="F44" s="23" t="s">
        <v>131</v>
      </c>
      <c r="G44" s="26" t="s">
        <v>122</v>
      </c>
      <c r="H44" s="33">
        <v>0.5</v>
      </c>
      <c r="I44" s="25"/>
      <c r="J44" s="25"/>
      <c r="K44" s="25" t="s">
        <v>72</v>
      </c>
      <c r="L44" s="25"/>
      <c r="M44" s="25"/>
      <c r="N44" s="25"/>
      <c r="O44" s="25"/>
      <c r="P44" s="25"/>
      <c r="Q44" s="25"/>
      <c r="R44" s="25"/>
      <c r="S44" s="25"/>
      <c r="T44" s="25"/>
      <c r="U44" s="25"/>
      <c r="V44" s="25"/>
      <c r="W44" s="25"/>
      <c r="X44" s="25"/>
      <c r="Y44" s="25"/>
      <c r="Z44" s="25"/>
      <c r="AA44" s="25"/>
      <c r="AB44" s="25"/>
    </row>
    <row r="45" spans="1:28" ht="21.95" customHeight="1">
      <c r="A45" s="57" t="s">
        <v>132</v>
      </c>
      <c r="B45" s="70"/>
      <c r="C45" s="70"/>
      <c r="D45" s="58"/>
      <c r="E45" s="70"/>
      <c r="F45" s="70"/>
      <c r="G45" s="70"/>
      <c r="H45" s="70"/>
      <c r="I45" s="71"/>
      <c r="J45" s="71"/>
      <c r="K45" s="71"/>
      <c r="L45" s="71"/>
      <c r="M45" s="71"/>
      <c r="N45" s="71"/>
      <c r="O45" s="71"/>
      <c r="P45" s="71"/>
      <c r="Q45" s="71"/>
      <c r="R45" s="71"/>
      <c r="S45" s="71"/>
      <c r="T45" s="71"/>
      <c r="U45" s="70"/>
      <c r="V45" s="70"/>
      <c r="W45" s="70"/>
      <c r="X45" s="70"/>
      <c r="Y45" s="70"/>
      <c r="Z45" s="70"/>
      <c r="AA45" s="70"/>
      <c r="AB45" s="70"/>
    </row>
    <row r="46" spans="1:28" ht="42" customHeight="1">
      <c r="A46" s="26" t="s">
        <v>26</v>
      </c>
      <c r="B46" s="18" t="s">
        <v>133</v>
      </c>
      <c r="C46" s="18" t="s">
        <v>134</v>
      </c>
      <c r="D46" s="26" t="s">
        <v>99</v>
      </c>
      <c r="E46" s="27" t="s">
        <v>82</v>
      </c>
      <c r="F46" s="23">
        <v>46220</v>
      </c>
      <c r="G46" s="26" t="s">
        <v>30</v>
      </c>
      <c r="H46" s="24">
        <v>1</v>
      </c>
      <c r="I46" s="25"/>
      <c r="J46" s="25"/>
      <c r="K46" s="25" t="s">
        <v>72</v>
      </c>
      <c r="L46" s="25" t="s">
        <v>135</v>
      </c>
      <c r="M46" s="25"/>
      <c r="N46" s="25"/>
      <c r="O46" s="25"/>
      <c r="P46" s="25"/>
      <c r="Q46" s="25"/>
      <c r="R46" s="25"/>
      <c r="S46" s="25"/>
      <c r="T46" s="25"/>
      <c r="U46" s="25"/>
      <c r="V46" s="25"/>
      <c r="W46" s="25"/>
      <c r="X46" s="25"/>
      <c r="Y46" s="25"/>
      <c r="Z46" s="25"/>
      <c r="AA46" s="25"/>
      <c r="AB46" s="25"/>
    </row>
    <row r="47" spans="1:28" ht="42" customHeight="1">
      <c r="A47" s="26" t="s">
        <v>33</v>
      </c>
      <c r="B47" s="18" t="s">
        <v>136</v>
      </c>
      <c r="C47" s="18" t="s">
        <v>137</v>
      </c>
      <c r="D47" s="17" t="s">
        <v>99</v>
      </c>
      <c r="E47" s="34" t="s">
        <v>82</v>
      </c>
      <c r="F47" s="20">
        <v>46225</v>
      </c>
      <c r="G47" s="17" t="s">
        <v>30</v>
      </c>
      <c r="H47" s="24">
        <v>1</v>
      </c>
      <c r="I47" s="22"/>
      <c r="J47" s="22"/>
      <c r="K47" s="22"/>
      <c r="L47" s="22" t="s">
        <v>135</v>
      </c>
      <c r="M47" s="22" t="s">
        <v>135</v>
      </c>
      <c r="N47" s="22" t="s">
        <v>135</v>
      </c>
      <c r="O47" s="22"/>
      <c r="P47" s="22"/>
      <c r="Q47" s="22"/>
      <c r="R47" s="22"/>
      <c r="S47" s="22"/>
      <c r="T47" s="22"/>
      <c r="U47" s="22"/>
      <c r="V47" s="22"/>
      <c r="W47" s="22"/>
      <c r="X47" s="22"/>
      <c r="Y47" s="22"/>
      <c r="Z47" s="22"/>
      <c r="AA47" s="22"/>
      <c r="AB47" s="22"/>
    </row>
    <row r="48" spans="1:28" ht="42" customHeight="1">
      <c r="A48" s="26" t="s">
        <v>36</v>
      </c>
      <c r="B48" s="18" t="s">
        <v>138</v>
      </c>
      <c r="C48" s="18" t="s">
        <v>139</v>
      </c>
      <c r="D48" s="17" t="s">
        <v>99</v>
      </c>
      <c r="E48" s="34" t="s">
        <v>82</v>
      </c>
      <c r="F48" s="20">
        <v>46231</v>
      </c>
      <c r="G48" s="17" t="s">
        <v>30</v>
      </c>
      <c r="H48" s="24">
        <v>1</v>
      </c>
      <c r="I48" s="22"/>
      <c r="J48" s="22"/>
      <c r="K48" s="22"/>
      <c r="L48" s="22"/>
      <c r="M48" s="22"/>
      <c r="N48" s="22"/>
      <c r="O48" s="22"/>
      <c r="P48" s="22"/>
      <c r="Q48" s="22"/>
      <c r="R48" s="22"/>
      <c r="S48" s="22"/>
      <c r="T48" s="22"/>
      <c r="U48" s="22"/>
      <c r="V48" s="22"/>
      <c r="W48" s="22"/>
      <c r="X48" s="22"/>
      <c r="Y48" s="22"/>
      <c r="Z48" s="22"/>
      <c r="AA48" s="22"/>
      <c r="AB48" s="22"/>
    </row>
    <row r="49" spans="1:28" ht="42" customHeight="1">
      <c r="A49" s="26" t="s">
        <v>39</v>
      </c>
      <c r="B49" s="18" t="s">
        <v>140</v>
      </c>
      <c r="C49" s="18" t="s">
        <v>141</v>
      </c>
      <c r="D49" s="17" t="s">
        <v>99</v>
      </c>
      <c r="E49" s="34" t="s">
        <v>82</v>
      </c>
      <c r="F49" s="20">
        <v>46236</v>
      </c>
      <c r="G49" s="17" t="s">
        <v>30</v>
      </c>
      <c r="H49" s="24">
        <v>1</v>
      </c>
      <c r="I49" s="22"/>
      <c r="J49" s="22"/>
      <c r="K49" s="22"/>
      <c r="L49" s="22"/>
      <c r="M49" s="22"/>
      <c r="N49" s="22"/>
      <c r="O49" s="22"/>
      <c r="P49" s="22"/>
      <c r="Q49" s="22"/>
      <c r="R49" s="22"/>
      <c r="S49" s="22"/>
      <c r="T49" s="22"/>
      <c r="U49" s="22"/>
      <c r="V49" s="22"/>
      <c r="W49" s="22"/>
      <c r="X49" s="22"/>
      <c r="Y49" s="22"/>
      <c r="Z49" s="22"/>
      <c r="AA49" s="22"/>
      <c r="AB49" s="22"/>
    </row>
    <row r="50" spans="1:28" ht="42" customHeight="1">
      <c r="A50" s="26" t="s">
        <v>42</v>
      </c>
      <c r="B50" s="18" t="s">
        <v>142</v>
      </c>
      <c r="C50" s="18" t="s">
        <v>143</v>
      </c>
      <c r="D50" s="17" t="s">
        <v>99</v>
      </c>
      <c r="E50" s="34" t="s">
        <v>82</v>
      </c>
      <c r="F50" s="20">
        <v>46241</v>
      </c>
      <c r="G50" s="17" t="s">
        <v>30</v>
      </c>
      <c r="H50" s="24">
        <v>1</v>
      </c>
      <c r="I50" s="22"/>
      <c r="J50" s="22"/>
      <c r="K50" s="22"/>
      <c r="L50" s="22"/>
      <c r="M50" s="22"/>
      <c r="N50" s="22"/>
      <c r="O50" s="22"/>
      <c r="P50" s="22"/>
      <c r="Q50" s="22"/>
      <c r="R50" s="22"/>
      <c r="S50" s="22"/>
      <c r="T50" s="22"/>
      <c r="U50" s="22"/>
      <c r="V50" s="22"/>
      <c r="W50" s="22"/>
      <c r="X50" s="22"/>
      <c r="Y50" s="22"/>
      <c r="Z50" s="22"/>
      <c r="AA50" s="22"/>
      <c r="AB50" s="22"/>
    </row>
    <row r="51" spans="1:28" ht="42" customHeight="1">
      <c r="A51" s="26" t="s">
        <v>45</v>
      </c>
      <c r="B51" s="18" t="s">
        <v>144</v>
      </c>
      <c r="C51" s="18" t="s">
        <v>145</v>
      </c>
      <c r="D51" s="17" t="s">
        <v>99</v>
      </c>
      <c r="E51" s="34" t="s">
        <v>82</v>
      </c>
      <c r="F51" s="20">
        <v>46245</v>
      </c>
      <c r="G51" s="17" t="s">
        <v>30</v>
      </c>
      <c r="H51" s="24">
        <v>1</v>
      </c>
      <c r="I51" s="22"/>
      <c r="J51" s="22"/>
      <c r="K51" s="22"/>
      <c r="L51" s="22"/>
      <c r="M51" s="22"/>
      <c r="N51" s="22"/>
      <c r="O51" s="22"/>
      <c r="P51" s="22"/>
      <c r="Q51" s="22"/>
      <c r="R51" s="22"/>
      <c r="S51" s="22"/>
      <c r="T51" s="22"/>
      <c r="U51" s="22"/>
      <c r="V51" s="22"/>
      <c r="W51" s="22"/>
      <c r="X51" s="22"/>
      <c r="Y51" s="22"/>
      <c r="Z51" s="22"/>
      <c r="AA51" s="22"/>
      <c r="AB51" s="22"/>
    </row>
    <row r="52" spans="1:28" ht="42" customHeight="1">
      <c r="A52" s="26" t="s">
        <v>48</v>
      </c>
      <c r="B52" s="18" t="s">
        <v>146</v>
      </c>
      <c r="C52" s="18" t="s">
        <v>147</v>
      </c>
      <c r="D52" s="17" t="s">
        <v>99</v>
      </c>
      <c r="E52" s="34" t="s">
        <v>82</v>
      </c>
      <c r="F52" s="20">
        <v>46248</v>
      </c>
      <c r="G52" s="17" t="s">
        <v>30</v>
      </c>
      <c r="H52" s="24">
        <v>1</v>
      </c>
      <c r="I52" s="22"/>
      <c r="J52" s="22"/>
      <c r="K52" s="22"/>
      <c r="L52" s="22"/>
      <c r="M52" s="22"/>
      <c r="N52" s="22"/>
      <c r="O52" s="22"/>
      <c r="P52" s="22"/>
      <c r="Q52" s="22"/>
      <c r="R52" s="22"/>
      <c r="S52" s="22"/>
      <c r="T52" s="22"/>
      <c r="U52" s="22"/>
      <c r="V52" s="22"/>
      <c r="W52" s="22"/>
      <c r="X52" s="22"/>
      <c r="Y52" s="22"/>
      <c r="Z52" s="22"/>
      <c r="AA52" s="22"/>
      <c r="AB52" s="22"/>
    </row>
    <row r="53" spans="1:28" ht="42" customHeight="1">
      <c r="A53" s="26" t="s">
        <v>52</v>
      </c>
      <c r="B53" s="18" t="s">
        <v>148</v>
      </c>
      <c r="C53" s="18" t="s">
        <v>149</v>
      </c>
      <c r="D53" s="17" t="s">
        <v>99</v>
      </c>
      <c r="E53" s="34" t="s">
        <v>82</v>
      </c>
      <c r="F53" s="20">
        <v>46251</v>
      </c>
      <c r="G53" s="17" t="s">
        <v>30</v>
      </c>
      <c r="H53" s="24">
        <v>1</v>
      </c>
      <c r="I53" s="22"/>
      <c r="J53" s="22"/>
      <c r="K53" s="22"/>
      <c r="L53" s="22"/>
      <c r="M53" s="22"/>
      <c r="N53" s="22"/>
      <c r="O53" s="22"/>
      <c r="P53" s="22"/>
      <c r="Q53" s="22"/>
      <c r="R53" s="22"/>
      <c r="S53" s="22"/>
      <c r="T53" s="22"/>
      <c r="U53" s="22"/>
      <c r="V53" s="22"/>
      <c r="W53" s="22"/>
      <c r="X53" s="22"/>
      <c r="Y53" s="22"/>
      <c r="Z53" s="22"/>
      <c r="AA53" s="22"/>
      <c r="AB53" s="22"/>
    </row>
    <row r="54" spans="1:28" ht="42" customHeight="1">
      <c r="A54" s="26" t="s">
        <v>55</v>
      </c>
      <c r="B54" s="18" t="s">
        <v>150</v>
      </c>
      <c r="C54" s="18" t="s">
        <v>151</v>
      </c>
      <c r="D54" s="17" t="s">
        <v>99</v>
      </c>
      <c r="E54" s="34" t="s">
        <v>82</v>
      </c>
      <c r="F54" s="20">
        <v>46253</v>
      </c>
      <c r="G54" s="17" t="s">
        <v>30</v>
      </c>
      <c r="H54" s="24">
        <v>1</v>
      </c>
      <c r="I54" s="22"/>
      <c r="J54" s="22"/>
      <c r="K54" s="22"/>
      <c r="L54" s="22"/>
      <c r="M54" s="22"/>
      <c r="N54" s="22"/>
      <c r="O54" s="22"/>
      <c r="P54" s="22"/>
      <c r="Q54" s="22"/>
      <c r="R54" s="22"/>
      <c r="S54" s="22"/>
      <c r="T54" s="22"/>
      <c r="U54" s="22"/>
      <c r="V54" s="22"/>
      <c r="W54" s="22"/>
      <c r="X54" s="22"/>
      <c r="Y54" s="22"/>
      <c r="Z54" s="22"/>
      <c r="AA54" s="22"/>
      <c r="AB54" s="22"/>
    </row>
    <row r="55" spans="1:28" ht="42" customHeight="1">
      <c r="A55" s="26" t="s">
        <v>59</v>
      </c>
      <c r="B55" s="18" t="s">
        <v>152</v>
      </c>
      <c r="C55" s="18" t="s">
        <v>153</v>
      </c>
      <c r="D55" s="17" t="s">
        <v>99</v>
      </c>
      <c r="E55" s="34" t="s">
        <v>82</v>
      </c>
      <c r="F55" s="20">
        <v>46258</v>
      </c>
      <c r="G55" s="17" t="s">
        <v>58</v>
      </c>
      <c r="H55" s="21">
        <v>0.5</v>
      </c>
      <c r="I55" s="22"/>
      <c r="J55" s="22"/>
      <c r="K55" s="22"/>
      <c r="L55" s="22"/>
      <c r="M55" s="22"/>
      <c r="N55" s="22"/>
      <c r="O55" s="22"/>
      <c r="P55" s="22"/>
      <c r="Q55" s="22"/>
      <c r="R55" s="22"/>
      <c r="S55" s="22"/>
      <c r="T55" s="22"/>
      <c r="U55" s="22"/>
      <c r="V55" s="22"/>
      <c r="W55" s="22"/>
      <c r="X55" s="22"/>
      <c r="Y55" s="22"/>
      <c r="Z55" s="22"/>
      <c r="AA55" s="22"/>
      <c r="AB55" s="22"/>
    </row>
    <row r="56" spans="1:28" ht="21.75" customHeight="1">
      <c r="A56" s="48" t="s">
        <v>154</v>
      </c>
      <c r="B56" s="49"/>
      <c r="C56" s="49"/>
      <c r="D56" s="49"/>
      <c r="E56" s="49"/>
      <c r="F56" s="50"/>
      <c r="G56" s="16"/>
      <c r="H56" s="16"/>
      <c r="I56" s="16"/>
      <c r="J56" s="16"/>
      <c r="K56" s="16"/>
      <c r="L56" s="16"/>
      <c r="M56" s="16"/>
      <c r="N56" s="16"/>
      <c r="O56" s="16"/>
      <c r="P56" s="16"/>
      <c r="Q56" s="16"/>
      <c r="R56" s="16"/>
      <c r="S56" s="16"/>
      <c r="T56" s="16"/>
      <c r="U56" s="16"/>
      <c r="V56" s="16"/>
      <c r="W56" s="16"/>
      <c r="X56" s="16"/>
      <c r="Y56" s="16"/>
      <c r="Z56" s="16"/>
      <c r="AA56" s="16"/>
      <c r="AB56" s="16"/>
    </row>
    <row r="57" spans="1:28" ht="47.25" customHeight="1">
      <c r="A57" s="17" t="s">
        <v>26</v>
      </c>
      <c r="B57" s="19" t="s">
        <v>133</v>
      </c>
      <c r="C57" s="19" t="s">
        <v>155</v>
      </c>
      <c r="D57" s="17" t="s">
        <v>121</v>
      </c>
      <c r="E57" s="19"/>
      <c r="F57" s="22" t="s">
        <v>156</v>
      </c>
      <c r="G57" s="17" t="s">
        <v>30</v>
      </c>
      <c r="H57" s="21">
        <v>1</v>
      </c>
      <c r="I57" s="22"/>
      <c r="J57" s="22" t="s">
        <v>31</v>
      </c>
      <c r="K57" s="22" t="s">
        <v>32</v>
      </c>
      <c r="L57" s="22" t="s">
        <v>32</v>
      </c>
      <c r="M57" s="22"/>
      <c r="N57" s="22"/>
      <c r="O57" s="22"/>
      <c r="P57" s="22"/>
      <c r="Q57" s="22"/>
      <c r="R57" s="22"/>
      <c r="S57" s="22"/>
      <c r="T57" s="22"/>
      <c r="U57" s="22"/>
      <c r="V57" s="22"/>
      <c r="W57" s="22"/>
      <c r="X57" s="22"/>
      <c r="Y57" s="22"/>
      <c r="Z57" s="22"/>
      <c r="AA57" s="22"/>
      <c r="AB57" s="22"/>
    </row>
    <row r="58" spans="1:28" ht="47.25" customHeight="1">
      <c r="A58" s="17" t="s">
        <v>33</v>
      </c>
      <c r="B58" s="18" t="s">
        <v>157</v>
      </c>
      <c r="C58" s="18" t="s">
        <v>158</v>
      </c>
      <c r="D58" s="26" t="s">
        <v>121</v>
      </c>
      <c r="E58" s="18"/>
      <c r="F58" s="22" t="s">
        <v>156</v>
      </c>
      <c r="G58" s="17" t="s">
        <v>30</v>
      </c>
      <c r="H58" s="24">
        <v>1</v>
      </c>
      <c r="I58" s="25"/>
      <c r="J58" s="22" t="s">
        <v>31</v>
      </c>
      <c r="K58" s="22" t="s">
        <v>32</v>
      </c>
      <c r="L58" s="22" t="s">
        <v>32</v>
      </c>
      <c r="M58" s="25"/>
      <c r="N58" s="25"/>
      <c r="O58" s="25"/>
      <c r="P58" s="25"/>
      <c r="Q58" s="25"/>
      <c r="R58" s="25"/>
      <c r="S58" s="25"/>
      <c r="T58" s="25"/>
      <c r="U58" s="25"/>
      <c r="V58" s="25"/>
      <c r="W58" s="25"/>
      <c r="X58" s="25"/>
      <c r="Y58" s="25"/>
      <c r="Z58" s="25"/>
      <c r="AA58" s="25"/>
      <c r="AB58" s="25"/>
    </row>
    <row r="59" spans="1:28" ht="47.25" customHeight="1">
      <c r="A59" s="17" t="s">
        <v>36</v>
      </c>
      <c r="B59" s="39" t="s">
        <v>159</v>
      </c>
      <c r="C59" s="39" t="s">
        <v>160</v>
      </c>
      <c r="D59" s="26" t="s">
        <v>121</v>
      </c>
      <c r="E59" s="35"/>
      <c r="F59" s="22" t="s">
        <v>156</v>
      </c>
      <c r="G59" s="17" t="s">
        <v>30</v>
      </c>
      <c r="H59" s="24">
        <v>1</v>
      </c>
      <c r="I59" s="35"/>
      <c r="J59" s="22" t="s">
        <v>31</v>
      </c>
      <c r="K59" s="22" t="s">
        <v>32</v>
      </c>
      <c r="L59" s="22" t="s">
        <v>32</v>
      </c>
      <c r="M59" s="35"/>
      <c r="N59" s="35"/>
      <c r="O59" s="35"/>
      <c r="P59" s="35"/>
      <c r="Q59" s="35"/>
      <c r="R59" s="35"/>
      <c r="S59" s="35"/>
      <c r="T59" s="35"/>
      <c r="U59" s="35"/>
      <c r="V59" s="35"/>
      <c r="W59" s="35"/>
      <c r="X59" s="35"/>
      <c r="Y59" s="35"/>
      <c r="Z59" s="35"/>
      <c r="AA59" s="35"/>
      <c r="AB59" s="35"/>
    </row>
    <row r="60" spans="1:28" ht="47.25" customHeight="1">
      <c r="A60" s="17" t="s">
        <v>39</v>
      </c>
      <c r="B60" s="40" t="s">
        <v>159</v>
      </c>
      <c r="C60" s="40" t="s">
        <v>161</v>
      </c>
      <c r="D60" s="26" t="s">
        <v>121</v>
      </c>
      <c r="E60" s="36"/>
      <c r="F60" s="22" t="s">
        <v>156</v>
      </c>
      <c r="G60" s="17" t="s">
        <v>30</v>
      </c>
      <c r="H60" s="24">
        <v>1</v>
      </c>
      <c r="I60" s="36"/>
      <c r="J60" s="22" t="s">
        <v>31</v>
      </c>
      <c r="K60" s="22" t="s">
        <v>32</v>
      </c>
      <c r="L60" s="22" t="s">
        <v>32</v>
      </c>
      <c r="M60" s="36"/>
      <c r="N60" s="36"/>
      <c r="O60" s="36"/>
      <c r="P60" s="36"/>
      <c r="Q60" s="36"/>
      <c r="R60" s="36"/>
      <c r="S60" s="36"/>
      <c r="T60" s="36"/>
      <c r="U60" s="36"/>
      <c r="V60" s="36"/>
      <c r="W60" s="36"/>
      <c r="X60" s="36"/>
      <c r="Y60" s="36"/>
      <c r="Z60" s="36"/>
      <c r="AA60" s="36"/>
      <c r="AB60" s="36"/>
    </row>
    <row r="61" spans="1:28" ht="47.25" customHeight="1">
      <c r="A61" s="17" t="s">
        <v>42</v>
      </c>
      <c r="B61" s="39" t="s">
        <v>162</v>
      </c>
      <c r="C61" s="39" t="s">
        <v>163</v>
      </c>
      <c r="D61" s="26" t="s">
        <v>121</v>
      </c>
      <c r="E61" s="35"/>
      <c r="F61" s="22" t="s">
        <v>156</v>
      </c>
      <c r="G61" s="17" t="s">
        <v>30</v>
      </c>
      <c r="H61" s="24">
        <v>1</v>
      </c>
      <c r="I61" s="35"/>
      <c r="J61" s="22" t="s">
        <v>31</v>
      </c>
      <c r="K61" s="22" t="s">
        <v>32</v>
      </c>
      <c r="L61" s="22" t="s">
        <v>32</v>
      </c>
      <c r="M61" s="35"/>
      <c r="N61" s="35"/>
      <c r="O61" s="35"/>
      <c r="P61" s="35"/>
      <c r="Q61" s="35"/>
      <c r="R61" s="35"/>
      <c r="S61" s="35"/>
      <c r="T61" s="35"/>
      <c r="U61" s="35"/>
      <c r="V61" s="35"/>
      <c r="W61" s="35"/>
      <c r="X61" s="35"/>
      <c r="Y61" s="35"/>
      <c r="Z61" s="35"/>
      <c r="AA61" s="35"/>
      <c r="AB61" s="35"/>
    </row>
    <row r="62" spans="1:28" ht="47.25" customHeight="1">
      <c r="A62" s="17" t="s">
        <v>45</v>
      </c>
      <c r="B62" s="40" t="s">
        <v>164</v>
      </c>
      <c r="C62" s="40" t="s">
        <v>165</v>
      </c>
      <c r="D62" s="26" t="s">
        <v>121</v>
      </c>
      <c r="E62" s="36"/>
      <c r="F62" s="22" t="s">
        <v>156</v>
      </c>
      <c r="G62" s="17" t="s">
        <v>30</v>
      </c>
      <c r="H62" s="24">
        <v>1</v>
      </c>
      <c r="I62" s="36"/>
      <c r="J62" s="22" t="s">
        <v>31</v>
      </c>
      <c r="K62" s="22" t="s">
        <v>32</v>
      </c>
      <c r="L62" s="22" t="s">
        <v>32</v>
      </c>
      <c r="M62" s="36"/>
      <c r="N62" s="36"/>
      <c r="O62" s="36"/>
      <c r="P62" s="36"/>
      <c r="Q62" s="36"/>
      <c r="R62" s="36"/>
      <c r="S62" s="36"/>
      <c r="T62" s="36"/>
      <c r="U62" s="36"/>
      <c r="V62" s="36"/>
      <c r="W62" s="36"/>
      <c r="X62" s="36"/>
      <c r="Y62" s="36"/>
      <c r="Z62" s="36"/>
      <c r="AA62" s="36"/>
      <c r="AB62" s="36"/>
    </row>
    <row r="63" spans="1:28" ht="47.25" customHeight="1">
      <c r="A63" s="17" t="s">
        <v>48</v>
      </c>
      <c r="B63" s="39" t="s">
        <v>164</v>
      </c>
      <c r="C63" s="39" t="s">
        <v>166</v>
      </c>
      <c r="D63" s="26" t="s">
        <v>121</v>
      </c>
      <c r="E63" s="35"/>
      <c r="F63" s="22" t="s">
        <v>156</v>
      </c>
      <c r="G63" s="17" t="s">
        <v>30</v>
      </c>
      <c r="H63" s="24">
        <v>1</v>
      </c>
      <c r="I63" s="35"/>
      <c r="J63" s="22" t="s">
        <v>31</v>
      </c>
      <c r="K63" s="22" t="s">
        <v>32</v>
      </c>
      <c r="L63" s="22" t="s">
        <v>32</v>
      </c>
      <c r="M63" s="35"/>
      <c r="N63" s="35"/>
      <c r="O63" s="35"/>
      <c r="P63" s="35"/>
      <c r="Q63" s="35"/>
      <c r="R63" s="35"/>
      <c r="S63" s="35"/>
      <c r="T63" s="35"/>
      <c r="U63" s="35"/>
      <c r="V63" s="35"/>
      <c r="W63" s="35"/>
      <c r="X63" s="35"/>
      <c r="Y63" s="35"/>
      <c r="Z63" s="35"/>
      <c r="AA63" s="35"/>
      <c r="AB63" s="35"/>
    </row>
    <row r="64" spans="1:28" ht="47.25" customHeight="1">
      <c r="A64" s="17" t="s">
        <v>52</v>
      </c>
      <c r="B64" s="40" t="s">
        <v>167</v>
      </c>
      <c r="C64" s="40" t="s">
        <v>168</v>
      </c>
      <c r="D64" s="26" t="s">
        <v>121</v>
      </c>
      <c r="E64" s="36"/>
      <c r="F64" s="22" t="s">
        <v>156</v>
      </c>
      <c r="G64" s="17" t="s">
        <v>30</v>
      </c>
      <c r="H64" s="24">
        <v>1</v>
      </c>
      <c r="I64" s="36"/>
      <c r="J64" s="22" t="s">
        <v>31</v>
      </c>
      <c r="K64" s="22" t="s">
        <v>32</v>
      </c>
      <c r="L64" s="22" t="s">
        <v>32</v>
      </c>
      <c r="M64" s="36"/>
      <c r="N64" s="36"/>
      <c r="O64" s="36"/>
      <c r="P64" s="36"/>
      <c r="Q64" s="36"/>
      <c r="R64" s="36"/>
      <c r="S64" s="36"/>
      <c r="T64" s="36"/>
      <c r="U64" s="36"/>
      <c r="V64" s="36"/>
      <c r="W64" s="36"/>
      <c r="X64" s="36"/>
      <c r="Y64" s="36"/>
      <c r="Z64" s="36"/>
      <c r="AA64" s="36"/>
      <c r="AB64" s="36"/>
    </row>
    <row r="65" spans="1:28" ht="47.25" customHeight="1">
      <c r="A65" s="17" t="s">
        <v>55</v>
      </c>
      <c r="B65" s="39" t="s">
        <v>167</v>
      </c>
      <c r="C65" s="39" t="s">
        <v>169</v>
      </c>
      <c r="D65" s="26" t="s">
        <v>121</v>
      </c>
      <c r="E65" s="35"/>
      <c r="F65" s="22" t="s">
        <v>156</v>
      </c>
      <c r="G65" s="17" t="s">
        <v>30</v>
      </c>
      <c r="H65" s="24">
        <v>1</v>
      </c>
      <c r="I65" s="35"/>
      <c r="J65" s="22" t="s">
        <v>31</v>
      </c>
      <c r="K65" s="22" t="s">
        <v>32</v>
      </c>
      <c r="L65" s="22" t="s">
        <v>32</v>
      </c>
      <c r="M65" s="35"/>
      <c r="N65" s="35"/>
      <c r="O65" s="35"/>
      <c r="P65" s="35"/>
      <c r="Q65" s="35"/>
      <c r="R65" s="35"/>
      <c r="S65" s="35"/>
      <c r="T65" s="35"/>
      <c r="U65" s="35"/>
      <c r="V65" s="35"/>
      <c r="W65" s="35"/>
      <c r="X65" s="35"/>
      <c r="Y65" s="35"/>
      <c r="Z65" s="35"/>
      <c r="AA65" s="35"/>
      <c r="AB65" s="35"/>
    </row>
    <row r="66" spans="1:28" ht="47.25" customHeight="1">
      <c r="A66" s="17" t="s">
        <v>59</v>
      </c>
      <c r="B66" s="40" t="s">
        <v>170</v>
      </c>
      <c r="C66" s="40" t="s">
        <v>171</v>
      </c>
      <c r="D66" s="26" t="s">
        <v>121</v>
      </c>
      <c r="E66" s="36"/>
      <c r="F66" s="22" t="s">
        <v>156</v>
      </c>
      <c r="G66" s="17" t="s">
        <v>30</v>
      </c>
      <c r="H66" s="24">
        <v>1</v>
      </c>
      <c r="I66" s="36"/>
      <c r="J66" s="22" t="s">
        <v>31</v>
      </c>
      <c r="K66" s="22" t="s">
        <v>32</v>
      </c>
      <c r="L66" s="22" t="s">
        <v>32</v>
      </c>
      <c r="M66" s="36"/>
      <c r="N66" s="36"/>
      <c r="O66" s="36"/>
      <c r="P66" s="36"/>
      <c r="Q66" s="36"/>
      <c r="R66" s="36"/>
      <c r="S66" s="36"/>
      <c r="T66" s="36"/>
      <c r="U66" s="36"/>
      <c r="V66" s="36"/>
      <c r="W66" s="36"/>
      <c r="X66" s="36"/>
      <c r="Y66" s="36"/>
      <c r="Z66" s="36"/>
      <c r="AA66" s="36"/>
      <c r="AB66" s="36"/>
    </row>
    <row r="67" spans="1:28" ht="47.25" customHeight="1">
      <c r="A67" s="17" t="s">
        <v>62</v>
      </c>
      <c r="B67" s="39" t="s">
        <v>172</v>
      </c>
      <c r="C67" s="39" t="s">
        <v>173</v>
      </c>
      <c r="D67" s="26" t="s">
        <v>121</v>
      </c>
      <c r="E67" s="35"/>
      <c r="F67" s="22" t="s">
        <v>174</v>
      </c>
      <c r="G67" s="17" t="s">
        <v>30</v>
      </c>
      <c r="H67" s="24">
        <v>1</v>
      </c>
      <c r="I67" s="35"/>
      <c r="J67" s="35"/>
      <c r="K67" s="35" t="s">
        <v>31</v>
      </c>
      <c r="L67" s="35" t="s">
        <v>31</v>
      </c>
      <c r="M67" s="35"/>
      <c r="N67" s="35"/>
      <c r="O67" s="35"/>
      <c r="P67" s="35"/>
      <c r="Q67" s="35"/>
      <c r="R67" s="35"/>
      <c r="S67" s="35"/>
      <c r="T67" s="35"/>
      <c r="U67" s="35"/>
      <c r="V67" s="35"/>
      <c r="W67" s="35"/>
      <c r="X67" s="35"/>
      <c r="Y67" s="35"/>
      <c r="Z67" s="35"/>
      <c r="AA67" s="35"/>
      <c r="AB67" s="35"/>
    </row>
    <row r="68" spans="1:28" ht="47.25" customHeight="1">
      <c r="A68" s="17" t="s">
        <v>65</v>
      </c>
      <c r="B68" s="40" t="s">
        <v>172</v>
      </c>
      <c r="C68" s="40" t="s">
        <v>175</v>
      </c>
      <c r="D68" s="26" t="s">
        <v>121</v>
      </c>
      <c r="E68" s="36"/>
      <c r="F68" s="20">
        <v>46274</v>
      </c>
      <c r="G68" s="17" t="s">
        <v>58</v>
      </c>
      <c r="H68" s="24">
        <v>0.5</v>
      </c>
      <c r="I68" s="35"/>
      <c r="J68" s="35"/>
      <c r="K68" s="35" t="s">
        <v>72</v>
      </c>
      <c r="L68" s="35" t="s">
        <v>72</v>
      </c>
      <c r="M68" s="35"/>
      <c r="N68" s="35"/>
      <c r="O68" s="35"/>
      <c r="P68" s="35"/>
      <c r="Q68" s="35"/>
      <c r="R68" s="35"/>
      <c r="S68" s="35"/>
      <c r="T68" s="35"/>
      <c r="U68" s="35"/>
      <c r="V68" s="35"/>
      <c r="W68" s="35"/>
      <c r="X68" s="35"/>
      <c r="Y68" s="35"/>
      <c r="Z68" s="35"/>
      <c r="AA68" s="35"/>
      <c r="AB68" s="35"/>
    </row>
    <row r="69" spans="1:28" ht="47.25" customHeight="1">
      <c r="A69" s="17" t="s">
        <v>68</v>
      </c>
      <c r="B69" s="40" t="s">
        <v>172</v>
      </c>
      <c r="C69" s="41" t="s">
        <v>176</v>
      </c>
      <c r="D69" s="26" t="s">
        <v>121</v>
      </c>
      <c r="E69" s="37"/>
      <c r="F69" s="22" t="s">
        <v>177</v>
      </c>
      <c r="G69" s="17" t="s">
        <v>51</v>
      </c>
      <c r="H69" s="38"/>
      <c r="I69" s="37"/>
      <c r="J69" s="37"/>
      <c r="K69" s="37"/>
      <c r="L69" s="37"/>
      <c r="M69" s="37"/>
      <c r="N69" s="37"/>
      <c r="O69" s="37"/>
      <c r="P69" s="37"/>
      <c r="Q69" s="37"/>
      <c r="R69" s="37"/>
      <c r="S69" s="37"/>
      <c r="T69" s="37"/>
      <c r="U69" s="37"/>
      <c r="V69" s="37"/>
      <c r="W69" s="37"/>
      <c r="X69" s="37"/>
      <c r="Y69" s="37"/>
      <c r="Z69" s="37"/>
      <c r="AA69" s="37"/>
      <c r="AB69" s="37"/>
    </row>
    <row r="70" spans="1:28" ht="47.25" customHeight="1">
      <c r="A70" s="17" t="s">
        <v>73</v>
      </c>
      <c r="B70" s="41" t="s">
        <v>178</v>
      </c>
      <c r="C70" s="41" t="s">
        <v>179</v>
      </c>
      <c r="D70" s="26" t="s">
        <v>121</v>
      </c>
      <c r="E70" s="37"/>
      <c r="F70" s="22"/>
      <c r="G70" s="17" t="s">
        <v>51</v>
      </c>
      <c r="H70" s="38"/>
      <c r="I70" s="37"/>
      <c r="J70" s="37"/>
      <c r="K70" s="37"/>
      <c r="L70" s="37"/>
      <c r="M70" s="37"/>
      <c r="N70" s="37"/>
      <c r="O70" s="37"/>
      <c r="P70" s="37"/>
      <c r="Q70" s="37"/>
      <c r="R70" s="37"/>
      <c r="S70" s="37"/>
      <c r="T70" s="37"/>
      <c r="U70" s="37"/>
      <c r="V70" s="37"/>
      <c r="W70" s="37"/>
      <c r="X70" s="37"/>
      <c r="Y70" s="37"/>
      <c r="Z70" s="37"/>
      <c r="AA70" s="37"/>
      <c r="AB70" s="37"/>
    </row>
  </sheetData>
  <mergeCells count="22">
    <mergeCell ref="A56:F56"/>
    <mergeCell ref="M4:O4"/>
    <mergeCell ref="A1:AB1"/>
    <mergeCell ref="M6:P6"/>
    <mergeCell ref="Q6:T6"/>
    <mergeCell ref="Y6:AB6"/>
    <mergeCell ref="A45:AB45"/>
    <mergeCell ref="A3:C3"/>
    <mergeCell ref="G3:I3"/>
    <mergeCell ref="J4:L4"/>
    <mergeCell ref="A8:AB8"/>
    <mergeCell ref="A39:AB39"/>
    <mergeCell ref="A6:H6"/>
    <mergeCell ref="D4:F4"/>
    <mergeCell ref="M3:O3"/>
    <mergeCell ref="A24:AB24"/>
    <mergeCell ref="I6:L6"/>
    <mergeCell ref="D3:F3"/>
    <mergeCell ref="G4:I4"/>
    <mergeCell ref="A4:C4"/>
    <mergeCell ref="U6:X6"/>
    <mergeCell ref="J3:L3"/>
  </mergeCells>
  <phoneticPr fontId="11" type="noConversion"/>
  <conditionalFormatting sqref="G8:G70">
    <cfRule type="cellIs" dxfId="7" priority="1" operator="equal">
      <formula>"Đã hoàn thành"</formula>
    </cfRule>
    <cfRule type="cellIs" dxfId="6" priority="2" operator="equal">
      <formula>"Đang thực hiện"</formula>
    </cfRule>
    <cfRule type="cellIs" dxfId="5" priority="3" operator="equal">
      <formula>"Chậm tiến độ"</formula>
    </cfRule>
    <cfRule type="cellIs" dxfId="4" priority="4" operator="equal">
      <formula>"Chưa thực hiện"</formula>
    </cfRule>
  </conditionalFormatting>
  <conditionalFormatting sqref="I8:AB70">
    <cfRule type="cellIs" dxfId="3" priority="5" operator="equal">
      <formula>"Xong"</formula>
    </cfRule>
    <cfRule type="cellIs" dxfId="2" priority="6" operator="equal">
      <formula>"Đang làm"</formula>
    </cfRule>
    <cfRule type="cellIs" dxfId="1" priority="7" operator="equal">
      <formula>"Chậm"</formula>
    </cfRule>
    <cfRule type="cellIs" dxfId="0" priority="8" operator="equal">
      <formula>"Kế hoạch"</formula>
    </cfRule>
  </conditionalFormatting>
  <dataValidations count="4">
    <dataValidation type="custom" allowBlank="1" sqref="D9:D23" xr:uid="{5094FB71-0609-4A15-A154-A6A518F6E695}">
      <formula1>"An Thanh;Chí Thanh;Tuấn;Hưng"</formula1>
    </dataValidation>
    <dataValidation type="list" allowBlank="1" sqref="D8:D55 D57:D70" xr:uid="{00000000-0002-0000-0000-000000000000}">
      <formula1>"An Thanh,Chí Thanh,Tuấn,Hưng"</formula1>
    </dataValidation>
    <dataValidation type="list" allowBlank="1" sqref="I8:AB70" xr:uid="{00000000-0002-0000-0000-000002000000}">
      <formula1>"Xong,Đang làm,Chậm,Kế hoạch,-"</formula1>
    </dataValidation>
    <dataValidation type="list" allowBlank="1" sqref="G8:G70" xr:uid="{00000000-0002-0000-0000-000001000000}">
      <formula1>"Đã hoàn thành,Đang thực hiện,Chưa thực hiện,Chậm tiến độ,Tạm dừng"</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workbookViewId="0">
      <selection activeCell="B14" sqref="B14"/>
    </sheetView>
  </sheetViews>
  <sheetFormatPr defaultRowHeight="15"/>
  <cols>
    <col min="1" max="1" width="6" customWidth="1"/>
    <col min="2" max="2" width="36" customWidth="1"/>
    <col min="3" max="7" width="14" customWidth="1"/>
    <col min="8" max="8" width="16" customWidth="1"/>
    <col min="9" max="9" width="22" customWidth="1"/>
  </cols>
  <sheetData>
    <row r="1" spans="1:9" ht="27.95" customHeight="1">
      <c r="A1" s="66" t="s">
        <v>180</v>
      </c>
      <c r="B1" s="72"/>
      <c r="C1" s="72"/>
      <c r="D1" s="72"/>
      <c r="E1" s="72"/>
      <c r="F1" s="72"/>
      <c r="G1" s="72"/>
      <c r="H1" s="72"/>
      <c r="I1" s="72"/>
    </row>
    <row r="3" spans="1:9" ht="21.95" customHeight="1">
      <c r="A3" s="67" t="s">
        <v>181</v>
      </c>
      <c r="B3" s="72"/>
      <c r="C3" s="72"/>
      <c r="D3" s="72"/>
      <c r="E3" s="72"/>
      <c r="F3" s="72"/>
      <c r="G3" s="72"/>
      <c r="H3" s="72"/>
      <c r="I3" s="72"/>
    </row>
    <row r="4" spans="1:9" ht="24" customHeight="1">
      <c r="A4" s="1" t="s">
        <v>182</v>
      </c>
      <c r="B4" s="1" t="s">
        <v>183</v>
      </c>
      <c r="C4" s="1" t="s">
        <v>184</v>
      </c>
      <c r="D4" s="1" t="s">
        <v>185</v>
      </c>
      <c r="E4" s="1" t="s">
        <v>72</v>
      </c>
      <c r="F4" s="1" t="s">
        <v>186</v>
      </c>
      <c r="G4" s="1" t="s">
        <v>187</v>
      </c>
      <c r="H4" s="1" t="s">
        <v>19</v>
      </c>
      <c r="I4" s="1" t="s">
        <v>188</v>
      </c>
    </row>
    <row r="5" spans="1:9" ht="21.95" customHeight="1">
      <c r="A5" s="5">
        <v>1</v>
      </c>
      <c r="B5" s="6" t="s">
        <v>189</v>
      </c>
      <c r="C5" s="4">
        <f>COUNTA('TIẾN ĐỘ TỔNG THỂ (ROADMAP)'!A9:A12)</f>
        <v>4</v>
      </c>
      <c r="D5" s="5">
        <f>COUNTIF('TIẾN ĐỘ TỔNG THỂ (ROADMAP)'!G9:G12, "Đã hoàn thành")</f>
        <v>4</v>
      </c>
      <c r="E5" s="5">
        <f>COUNTIF('TIẾN ĐỘ TỔNG THỂ (ROADMAP)'!G9:G12, "Đang thực hiện")</f>
        <v>0</v>
      </c>
      <c r="F5" s="5">
        <f>COUNTIF('TIẾN ĐỘ TỔNG THỂ (ROADMAP)'!G9:G12, "Chậm tiến độ")</f>
        <v>0</v>
      </c>
      <c r="G5" s="5">
        <f>COUNTIF('TIẾN ĐỘ TỔNG THỂ (ROADMAP)'!G9:G12, "Chưa thực hiện")</f>
        <v>0</v>
      </c>
      <c r="H5" s="7">
        <f t="shared" ref="H5:H10" si="0">IFERROR(D5/C5, 0)</f>
        <v>1</v>
      </c>
      <c r="I5" s="5" t="str">
        <f>IF(C5=0, "Chưa có việc", IF(F5&gt;0, "⚠️ Có việc chậm trễ", IF(H5=1, "✅ Đã hoàn thành", "🟢 Đúng kế hoạch")))</f>
        <v>✅ Đã hoàn thành</v>
      </c>
    </row>
    <row r="6" spans="1:9" ht="21.95" customHeight="1">
      <c r="A6" s="3">
        <v>2</v>
      </c>
      <c r="B6" s="8" t="s">
        <v>190</v>
      </c>
      <c r="C6" s="2">
        <f>COUNTA('TIẾN ĐỘ TỔNG THỂ (ROADMAP)'!#REF!)</f>
        <v>1</v>
      </c>
      <c r="D6" s="3" t="e">
        <f>COUNTIF('TIẾN ĐỘ TỔNG THỂ (ROADMAP)'!#REF!, "Đã hoàn thành")</f>
        <v>#REF!</v>
      </c>
      <c r="E6" s="3" t="e">
        <f>COUNTIF('TIẾN ĐỘ TỔNG THỂ (ROADMAP)'!#REF!, "Đang thực hiện")</f>
        <v>#REF!</v>
      </c>
      <c r="F6" s="3" t="e">
        <f>COUNTIF('TIẾN ĐỘ TỔNG THỂ (ROADMAP)'!#REF!, "Chậm tiến độ")</f>
        <v>#REF!</v>
      </c>
      <c r="G6" s="3" t="e">
        <f>COUNTIF('TIẾN ĐỘ TỔNG THỂ (ROADMAP)'!#REF!, "Chưa thực hiện")</f>
        <v>#REF!</v>
      </c>
      <c r="H6" s="9">
        <f t="shared" si="0"/>
        <v>0</v>
      </c>
      <c r="I6" s="3" t="e">
        <f>IF(C6=0, "Chưa có việc", IF(F6&gt;0, "⚠️ Có việc chậm trễ", IF(H6=1, "✅ Đã hoàn thành", "🟢 Đúng kế hoạch")))</f>
        <v>#REF!</v>
      </c>
    </row>
    <row r="7" spans="1:9" ht="21.95" customHeight="1">
      <c r="A7" s="5">
        <v>3</v>
      </c>
      <c r="B7" s="6" t="s">
        <v>191</v>
      </c>
      <c r="C7" s="4">
        <v>5</v>
      </c>
      <c r="D7" s="5">
        <v>2</v>
      </c>
      <c r="E7" s="5">
        <v>3</v>
      </c>
      <c r="F7" s="5">
        <f>COUNTIF('TIẾN ĐỘ TỔNG THỂ (ROADMAP)'!G40:G42, "Chậm tiến độ")</f>
        <v>0</v>
      </c>
      <c r="G7" s="5">
        <f>COUNTIF('TIẾN ĐỘ TỔNG THỂ (ROADMAP)'!G40:G42, "Chưa thực hiện")</f>
        <v>0</v>
      </c>
      <c r="H7" s="7">
        <f t="shared" si="0"/>
        <v>0.4</v>
      </c>
      <c r="I7" s="5" t="str">
        <f>IF(C7=0, "Chưa có việc", IF(F7&gt;0, "⚠️ Có việc chậm trễ", IF(H7=1, "✅ Đã hoàn thành", "🟢 Đúng kế hoạch")))</f>
        <v>🟢 Đúng kế hoạch</v>
      </c>
    </row>
    <row r="8" spans="1:9" ht="21.95" customHeight="1">
      <c r="A8" s="3">
        <v>4</v>
      </c>
      <c r="B8" s="8" t="s">
        <v>192</v>
      </c>
      <c r="C8" s="2">
        <f>COUNTA('TIẾN ĐỘ TỔNG THỂ (ROADMAP)'!A46:A55)</f>
        <v>10</v>
      </c>
      <c r="D8" s="3">
        <f>COUNTIF('TIẾN ĐỘ TỔNG THỂ (ROADMAP)'!G46:G55, "Đã hoàn thành")</f>
        <v>9</v>
      </c>
      <c r="E8" s="3">
        <f>COUNTIF('TIẾN ĐỘ TỔNG THỂ (ROADMAP)'!G46:G55, "Đang thực hiện")</f>
        <v>1</v>
      </c>
      <c r="F8" s="3">
        <f>COUNTIF('TIẾN ĐỘ TỔNG THỂ (ROADMAP)'!G46:G55, "Chậm tiến độ")</f>
        <v>0</v>
      </c>
      <c r="G8" s="3">
        <f>COUNTIF('TIẾN ĐỘ TỔNG THỂ (ROADMAP)'!G46:G55, "Chưa thực hiện")</f>
        <v>0</v>
      </c>
      <c r="H8" s="9">
        <f>IFERROR(D8/C8, 0)</f>
        <v>0.9</v>
      </c>
      <c r="I8" s="3" t="str">
        <f>IF(C8=0, "Chưa có việc", IF(F8&gt;0, "⚠️ Có việc chậm trễ", IF(H8=1, "✅ Đã hoàn thành", "🟢 Đúng kế hoạch")))</f>
        <v>🟢 Đúng kế hoạch</v>
      </c>
    </row>
    <row r="9" spans="1:9" ht="21.95" customHeight="1">
      <c r="A9" s="5">
        <v>5</v>
      </c>
      <c r="B9" s="6" t="s">
        <v>193</v>
      </c>
      <c r="C9" s="4">
        <f>COUNTA('TIẾN ĐỘ TỔNG THỂ (ROADMAP)'!A57:A58)</f>
        <v>2</v>
      </c>
      <c r="D9" s="5">
        <f>COUNTIF('TIẾN ĐỘ TỔNG THỂ (ROADMAP)'!G57:G58, "Đã hoàn thành")</f>
        <v>2</v>
      </c>
      <c r="E9" s="5">
        <f>COUNTIF('TIẾN ĐỘ TỔNG THỂ (ROADMAP)'!G57:G58, "Đang thực hiện")</f>
        <v>0</v>
      </c>
      <c r="F9" s="5">
        <f>COUNTIF('TIẾN ĐỘ TỔNG THỂ (ROADMAP)'!G57:G58, "Chậm tiến độ")</f>
        <v>0</v>
      </c>
      <c r="G9" s="5">
        <f>COUNTIF('TIẾN ĐỘ TỔNG THỂ (ROADMAP)'!G57:G58, "Chưa thực hiện")</f>
        <v>0</v>
      </c>
      <c r="H9" s="7">
        <f t="shared" si="0"/>
        <v>1</v>
      </c>
      <c r="I9" s="5" t="str">
        <f>IF(C9=0, "Chưa có việc", IF(F9&gt;0, "⚠️ Có việc chậm trễ", IF(H9=1, "✅ Đã hoàn thành", "🟢 Đúng kế hoạch")))</f>
        <v>✅ Đã hoàn thành</v>
      </c>
    </row>
    <row r="10" spans="1:9" ht="24" customHeight="1">
      <c r="A10" s="10"/>
      <c r="B10" s="11" t="s">
        <v>194</v>
      </c>
      <c r="C10" s="12">
        <f>SUM(C5:C9)</f>
        <v>22</v>
      </c>
      <c r="D10" s="12" t="e">
        <f>SUM(D5:D9)</f>
        <v>#REF!</v>
      </c>
      <c r="E10" s="12" t="e">
        <f>SUM(E5:E9)</f>
        <v>#REF!</v>
      </c>
      <c r="F10" s="12" t="e">
        <f>SUM(F5:F9)</f>
        <v>#REF!</v>
      </c>
      <c r="G10" s="12" t="e">
        <f>SUM(G5:G9)</f>
        <v>#REF!</v>
      </c>
      <c r="H10" s="13">
        <f t="shared" si="0"/>
        <v>0</v>
      </c>
      <c r="I10" s="12" t="s">
        <v>32</v>
      </c>
    </row>
    <row r="12" spans="1:9" ht="21.95" customHeight="1">
      <c r="A12" s="67" t="s">
        <v>195</v>
      </c>
      <c r="B12" s="72"/>
      <c r="C12" s="72"/>
      <c r="D12" s="72"/>
      <c r="E12" s="72"/>
      <c r="F12" s="72"/>
      <c r="G12" s="72"/>
      <c r="H12" s="72"/>
      <c r="I12" s="72"/>
    </row>
    <row r="13" spans="1:9" ht="24" customHeight="1">
      <c r="A13" s="14" t="s">
        <v>182</v>
      </c>
      <c r="B13" s="14" t="s">
        <v>196</v>
      </c>
      <c r="C13" s="14" t="s">
        <v>197</v>
      </c>
      <c r="D13" s="14" t="s">
        <v>185</v>
      </c>
      <c r="E13" s="14" t="s">
        <v>72</v>
      </c>
      <c r="F13" s="14" t="s">
        <v>186</v>
      </c>
      <c r="G13" s="14" t="s">
        <v>187</v>
      </c>
      <c r="H13" s="14" t="s">
        <v>19</v>
      </c>
      <c r="I13" s="14" t="s">
        <v>198</v>
      </c>
    </row>
    <row r="14" spans="1:9" ht="21.95" customHeight="1">
      <c r="A14" s="5">
        <v>1</v>
      </c>
      <c r="B14" s="6" t="s">
        <v>29</v>
      </c>
      <c r="C14" s="4">
        <f>COUNTIF('TIẾN ĐỘ TỔNG THỂ (ROADMAP)'!D8:D67, "An Thanh")</f>
        <v>18</v>
      </c>
      <c r="D14" s="5">
        <f>COUNTIFS('TIẾN ĐỘ TỔNG THỂ (ROADMAP)'!D8:D67, "An Thanh", 'TIẾN ĐỘ TỔNG THỂ (ROADMAP)'!G8:G67, "Đã hoàn thành")</f>
        <v>12</v>
      </c>
      <c r="E14" s="5">
        <f>COUNTIFS('TIẾN ĐỘ TỔNG THỂ (ROADMAP)'!D8:D67, "An Thanh", 'TIẾN ĐỘ TỔNG THỂ (ROADMAP)'!G8:G67, "Đang thực hiện")</f>
        <v>4</v>
      </c>
      <c r="F14" s="5">
        <f>COUNTIFS('TIẾN ĐỘ TỔNG THỂ (ROADMAP)'!D8:D67, "An Thanh", 'TIẾN ĐỘ TỔNG THỂ (ROADMAP)'!G8:G67, "Chậm tiến độ")</f>
        <v>0</v>
      </c>
      <c r="G14" s="5">
        <f>COUNTIFS('TIẾN ĐỘ TỔNG THỂ (ROADMAP)'!D8:D67, "An Thanh", 'TIẾN ĐỘ TỔNG THỂ (ROADMAP)'!G8:G67, "Chưa thực hiện")</f>
        <v>1</v>
      </c>
      <c r="H14" s="7">
        <f>IFERROR(D14/C14, 0)</f>
        <v>0.66666666666666663</v>
      </c>
      <c r="I14" s="5" t="str">
        <f>IF(C14&gt;=5, "⚡ Tải cao", IF(F14&gt;0, "⚠️ Có việc trễ", "🟢 Tiến độ tốt"))</f>
        <v>⚡ Tải cao</v>
      </c>
    </row>
    <row r="15" spans="1:9" ht="21.95" customHeight="1">
      <c r="A15" s="3">
        <v>2</v>
      </c>
      <c r="B15" s="8" t="s">
        <v>99</v>
      </c>
      <c r="C15" s="2">
        <f>COUNTIF('TIẾN ĐỘ TỔNG THỂ (ROADMAP)'!D8:D67, "Chí Thanh")</f>
        <v>10</v>
      </c>
      <c r="D15" s="3">
        <f>COUNTIFS('TIẾN ĐỘ TỔNG THỂ (ROADMAP)'!D8:D67, "Chí Thanh", 'TIẾN ĐỘ TỔNG THỂ (ROADMAP)'!G8:G67, "Đã hoàn thành")</f>
        <v>9</v>
      </c>
      <c r="E15" s="3">
        <f>COUNTIFS('TIẾN ĐỘ TỔNG THỂ (ROADMAP)'!D8:D67, "Chí Thanh", 'TIẾN ĐỘ TỔNG THỂ (ROADMAP)'!G8:G67, "Đang thực hiện")</f>
        <v>1</v>
      </c>
      <c r="F15" s="3">
        <f>COUNTIFS('TIẾN ĐỘ TỔNG THỂ (ROADMAP)'!D8:D67, "Chí Thanh", 'TIẾN ĐỘ TỔNG THỂ (ROADMAP)'!G8:G67, "Chậm tiến độ")</f>
        <v>0</v>
      </c>
      <c r="G15" s="3">
        <f>COUNTIFS('TIẾN ĐỘ TỔNG THỂ (ROADMAP)'!D8:D67, "Chí Thanh", 'TIẾN ĐỘ TỔNG THỂ (ROADMAP)'!G8:G67, "Chưa thực hiện")</f>
        <v>0</v>
      </c>
      <c r="H15" s="9">
        <f>IFERROR(D15/C15, 0)</f>
        <v>0.9</v>
      </c>
      <c r="I15" s="3" t="str">
        <f>IF(C15&gt;=5, "⚡ Tải cao", IF(F15&gt;0, "⚠️ Có việc trễ", "🟢 Tiến độ tốt"))</f>
        <v>⚡ Tải cao</v>
      </c>
    </row>
    <row r="16" spans="1:9" ht="21.95" customHeight="1">
      <c r="A16" s="5">
        <v>3</v>
      </c>
      <c r="B16" s="6" t="s">
        <v>82</v>
      </c>
      <c r="C16" s="4">
        <f>COUNTIF('TIẾN ĐỘ TỔNG THỂ (ROADMAP)'!D8:D67, "Tuấn")</f>
        <v>14</v>
      </c>
      <c r="D16" s="5">
        <f>COUNTIFS('TIẾN ĐỘ TỔNG THỂ (ROADMAP)'!D8:D67, "Tuấn", 'TIẾN ĐỘ TỔNG THỂ (ROADMAP)'!G8:G67, "Đã hoàn thành")</f>
        <v>14</v>
      </c>
      <c r="E16" s="5">
        <f>COUNTIFS('TIẾN ĐỘ TỔNG THỂ (ROADMAP)'!D8:D67, "Tuấn", 'TIẾN ĐỘ TỔNG THỂ (ROADMAP)'!G8:G67, "Đang thực hiện")</f>
        <v>0</v>
      </c>
      <c r="F16" s="5">
        <f>COUNTIFS('TIẾN ĐỘ TỔNG THỂ (ROADMAP)'!D8:D67, "Tuấn", 'TIẾN ĐỘ TỔNG THỂ (ROADMAP)'!G8:G67, "Chậm tiến độ")</f>
        <v>0</v>
      </c>
      <c r="G16" s="5">
        <f>COUNTIFS('TIẾN ĐỘ TỔNG THỂ (ROADMAP)'!D8:D67, "Tuấn", 'TIẾN ĐỘ TỔNG THỂ (ROADMAP)'!G8:G67, "Chưa thực hiện")</f>
        <v>0</v>
      </c>
      <c r="H16" s="7">
        <f>IFERROR(D16/C16, 0)</f>
        <v>1</v>
      </c>
      <c r="I16" s="5" t="str">
        <f>IF(C16&gt;=5, "⚡ Tải cao", IF(F16&gt;0, "⚠️ Có việc trễ", "🟢 Tiến độ tốt"))</f>
        <v>⚡ Tải cao</v>
      </c>
    </row>
    <row r="17" spans="1:9" ht="21.95" customHeight="1">
      <c r="A17" s="3">
        <v>4</v>
      </c>
      <c r="B17" s="8" t="s">
        <v>121</v>
      </c>
      <c r="C17" s="2">
        <f>COUNTIF('TIẾN ĐỘ TỔNG THỂ (ROADMAP)'!D8:D67, "Hưng")</f>
        <v>13</v>
      </c>
      <c r="D17" s="3">
        <f>COUNTIFS('TIẾN ĐỘ TỔNG THỂ (ROADMAP)'!D8:D67, "Hưng", 'TIẾN ĐỘ TỔNG THỂ (ROADMAP)'!G8:G67, "Đã hoàn thành")</f>
        <v>11</v>
      </c>
      <c r="E17" s="3">
        <f>COUNTIFS('TIẾN ĐỘ TỔNG THỂ (ROADMAP)'!D8:D67, "Hưng", 'TIẾN ĐỘ TỔNG THỂ (ROADMAP)'!G8:G67, "Đang thực hiện")</f>
        <v>0</v>
      </c>
      <c r="F17" s="3">
        <f>COUNTIFS('TIẾN ĐỘ TỔNG THỂ (ROADMAP)'!D8:D67, "Hưng", 'TIẾN ĐỘ TỔNG THỂ (ROADMAP)'!G8:G67, "Chậm tiến độ")</f>
        <v>0</v>
      </c>
      <c r="G17" s="3">
        <f>COUNTIFS('TIẾN ĐỘ TỔNG THỂ (ROADMAP)'!D8:D67, "Hưng", 'TIẾN ĐỘ TỔNG THỂ (ROADMAP)'!G8:G67, "Chưa thực hiện")</f>
        <v>0</v>
      </c>
      <c r="H17" s="9">
        <f>IFERROR(D17/C17, 0)</f>
        <v>0.84615384615384615</v>
      </c>
      <c r="I17" s="3" t="str">
        <f>IF(C17&gt;=5, "⚡ Tải cao", IF(F17&gt;0, "⚠️ Có việc trễ", "🟢 Tiến độ tốt"))</f>
        <v>⚡ Tải cao</v>
      </c>
    </row>
    <row r="18" spans="1:9" ht="24" customHeight="1">
      <c r="A18" s="10"/>
      <c r="B18" s="11" t="s">
        <v>199</v>
      </c>
      <c r="C18" s="12">
        <f>SUM(C14:C17)</f>
        <v>55</v>
      </c>
      <c r="D18" s="12">
        <f>SUM(D14:D17)</f>
        <v>46</v>
      </c>
      <c r="E18" s="12">
        <f>SUM(E14:E17)</f>
        <v>5</v>
      </c>
      <c r="F18" s="12">
        <f>SUM(F14:F17)</f>
        <v>0</v>
      </c>
      <c r="G18" s="12">
        <f>SUM(G14:G17)</f>
        <v>1</v>
      </c>
      <c r="H18" s="13">
        <f>IFERROR(D18/C18, 0)</f>
        <v>0.83636363636363631</v>
      </c>
      <c r="I18" s="12" t="s">
        <v>32</v>
      </c>
    </row>
  </sheetData>
  <mergeCells count="3">
    <mergeCell ref="A1:I1"/>
    <mergeCell ref="A12:I12"/>
    <mergeCell ref="A3:I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071687-f9c9-4ace-8ce2-936f7bedb4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DA4DFC587EBD46859D429D6F9C347E" ma:contentTypeVersion="9" ma:contentTypeDescription="Create a new document." ma:contentTypeScope="" ma:versionID="2408277065c0163ca34e96d98ae9fe06">
  <xsd:schema xmlns:xsd="http://www.w3.org/2001/XMLSchema" xmlns:xs="http://www.w3.org/2001/XMLSchema" xmlns:p="http://schemas.microsoft.com/office/2006/metadata/properties" xmlns:ns3="bc071687-f9c9-4ace-8ce2-936f7bedb477" targetNamespace="http://schemas.microsoft.com/office/2006/metadata/properties" ma:root="true" ma:fieldsID="33966b3a01cd3390bacf0bbc695a0a97" ns3:_="">
    <xsd:import namespace="bc071687-f9c9-4ace-8ce2-936f7bedb47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071687-f9c9-4ace-8ce2-936f7bedb47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4701B0-7153-4EAE-BD2B-CA83F02A1988}"/>
</file>

<file path=customXml/itemProps2.xml><?xml version="1.0" encoding="utf-8"?>
<ds:datastoreItem xmlns:ds="http://schemas.openxmlformats.org/officeDocument/2006/customXml" ds:itemID="{3DC413FE-A0EE-4761-A20B-0A3B5625D5C6}"/>
</file>

<file path=customXml/itemProps3.xml><?xml version="1.0" encoding="utf-8"?>
<ds:datastoreItem xmlns:ds="http://schemas.openxmlformats.org/officeDocument/2006/customXml" ds:itemID="{9F70E292-BE6A-4EF8-ADC2-D5E325099B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2026-08-20T07:37:52Z</dcterms:created>
  <dcterms:modified xsi:type="dcterms:W3CDTF">2026-09-07T00:56:07Z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0x01010059DA4DFC587EBD46859D429D6F9C347E</vt:lpwstr>
  </property>
</Properties>
</file>